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updateLinks="never"/>
  <mc:AlternateContent xmlns:mc="http://schemas.openxmlformats.org/markup-compatibility/2006">
    <mc:Choice Requires="x15">
      <x15ac:absPath xmlns:x15ac="http://schemas.microsoft.com/office/spreadsheetml/2010/11/ac" url="C:\Users\MD01\Desktop\"/>
    </mc:Choice>
  </mc:AlternateContent>
  <xr:revisionPtr revIDLastSave="0" documentId="8_{5CD05DEF-BD5C-4F80-BE2B-D7256BE4B20B}" xr6:coauthVersionLast="47" xr6:coauthVersionMax="47" xr10:uidLastSave="{00000000-0000-0000-0000-000000000000}"/>
  <bookViews>
    <workbookView xWindow="-98" yWindow="-98" windowWidth="28996" windowHeight="17596" xr2:uid="{38B075E8-AACB-4C32-9B1D-39DB31E1AA11}"/>
  </bookViews>
  <sheets>
    <sheet name="资产负债表" sheetId="1" r:id="rId1"/>
    <sheet name="利润表_月季报" sheetId="2" r:id="rId2"/>
    <sheet name="现金流量表_月季报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I17" i="1"/>
  <c r="D21" i="1"/>
  <c r="E21" i="1"/>
  <c r="H23" i="1"/>
  <c r="H24" i="1" s="1"/>
  <c r="H37" i="1" s="1"/>
  <c r="I23" i="1"/>
  <c r="I24" i="1"/>
  <c r="I37" i="1" s="1"/>
  <c r="D27" i="1"/>
  <c r="D36" i="1" s="1"/>
  <c r="D37" i="1" s="1"/>
  <c r="E27" i="1"/>
  <c r="E36" i="1"/>
  <c r="E37" i="1" s="1"/>
  <c r="H36" i="1"/>
  <c r="I36" i="1"/>
  <c r="D3" i="2"/>
  <c r="F3" i="2"/>
  <c r="D4" i="2"/>
  <c r="F4" i="2"/>
  <c r="D26" i="2"/>
  <c r="E26" i="2"/>
  <c r="E35" i="2" s="1"/>
  <c r="E37" i="2" s="1"/>
  <c r="D35" i="2"/>
  <c r="D37" i="2" s="1"/>
  <c r="D3" i="3"/>
  <c r="F3" i="3"/>
  <c r="D4" i="3"/>
  <c r="F4" i="3"/>
  <c r="D13" i="3"/>
  <c r="E13" i="3"/>
  <c r="D20" i="3"/>
  <c r="E20" i="3"/>
  <c r="D27" i="3"/>
  <c r="E27" i="3"/>
  <c r="D28" i="3"/>
  <c r="E28" i="3"/>
  <c r="D30" i="3"/>
  <c r="E30" i="3"/>
</calcChain>
</file>

<file path=xl/sharedStrings.xml><?xml version="1.0" encoding="utf-8"?>
<sst xmlns="http://schemas.openxmlformats.org/spreadsheetml/2006/main" count="149" uniqueCount="133">
  <si>
    <t>资产负债表（适用执行小企业会计准则的企业）</t>
  </si>
  <si>
    <t>会小企01表   单位：元</t>
  </si>
  <si>
    <t>纳税人识别号</t>
  </si>
  <si>
    <t>纳税人名称</t>
  </si>
  <si>
    <t>所属期起</t>
  </si>
  <si>
    <t>所属期止</t>
  </si>
  <si>
    <t>资产</t>
  </si>
  <si>
    <t>行次</t>
  </si>
  <si>
    <t>期末余额</t>
  </si>
  <si>
    <t>年初余额</t>
  </si>
  <si>
    <t>负债和所有者权益</t>
  </si>
  <si>
    <t>流动资产：</t>
  </si>
  <si>
    <t>流动负债：</t>
  </si>
  <si>
    <t>货币资金</t>
  </si>
  <si>
    <t>短期借款</t>
  </si>
  <si>
    <t>短期投资</t>
  </si>
  <si>
    <t>应付票据</t>
  </si>
  <si>
    <t>应收票据</t>
  </si>
  <si>
    <t>应付账款</t>
  </si>
  <si>
    <t>应收账款</t>
  </si>
  <si>
    <t>预收账款</t>
  </si>
  <si>
    <t>预付账款</t>
  </si>
  <si>
    <t>应付职工薪酬</t>
  </si>
  <si>
    <t>应收股利</t>
  </si>
  <si>
    <t>应交税费</t>
  </si>
  <si>
    <t>应收利息</t>
  </si>
  <si>
    <t>应付利息</t>
  </si>
  <si>
    <t>其他应收款</t>
  </si>
  <si>
    <t>应付利润</t>
  </si>
  <si>
    <t>存货</t>
  </si>
  <si>
    <t>其他应付款</t>
  </si>
  <si>
    <t xml:space="preserve">  其中：原材料</t>
  </si>
  <si>
    <t>其他流动负债</t>
  </si>
  <si>
    <t xml:space="preserve">        在产品</t>
  </si>
  <si>
    <t>流动负债合计</t>
  </si>
  <si>
    <t xml:space="preserve">        库存商品</t>
  </si>
  <si>
    <t>非流动负债：</t>
  </si>
  <si>
    <t xml:space="preserve">        周转材料</t>
  </si>
  <si>
    <t>长期借款</t>
  </si>
  <si>
    <t>其他流动资产</t>
  </si>
  <si>
    <t>长期应付款</t>
  </si>
  <si>
    <t>流动资产合计</t>
  </si>
  <si>
    <t>递延收益</t>
  </si>
  <si>
    <t>非流动资产：</t>
  </si>
  <si>
    <t>其他非流动负债</t>
  </si>
  <si>
    <t>长期债券投资</t>
  </si>
  <si>
    <t>非流动负债合计</t>
  </si>
  <si>
    <t>长期股权投资</t>
  </si>
  <si>
    <t>负债合计</t>
  </si>
  <si>
    <t>固定资产原价</t>
  </si>
  <si>
    <t>减：累计折旧</t>
  </si>
  <si>
    <t>固定资产账面价值</t>
  </si>
  <si>
    <t>在建工程</t>
  </si>
  <si>
    <t>工程物资</t>
  </si>
  <si>
    <t>固定资产清理</t>
  </si>
  <si>
    <t>生物性生物资产</t>
  </si>
  <si>
    <t>所有者权益（或股东权益）：</t>
  </si>
  <si>
    <t>无形资产</t>
  </si>
  <si>
    <t>实收资本（或股本）</t>
  </si>
  <si>
    <t>开发支出</t>
  </si>
  <si>
    <t>资本公积</t>
  </si>
  <si>
    <t>长期待摊费用</t>
  </si>
  <si>
    <t>盈余公积</t>
  </si>
  <si>
    <t>其他非流动资产</t>
  </si>
  <si>
    <t>未分配利润</t>
  </si>
  <si>
    <t>非流动资产合计</t>
  </si>
  <si>
    <t>所有者权益（或股东权益）合计</t>
  </si>
  <si>
    <t>资产合计</t>
  </si>
  <si>
    <t>负债和所有者权益（或股东权益）总计</t>
  </si>
  <si>
    <t>利润表_月季报（适用执行小企业会计准则的企业）</t>
  </si>
  <si>
    <t>会小企02表   单位：元</t>
  </si>
  <si>
    <t>项目</t>
  </si>
  <si>
    <t>本期金额</t>
  </si>
  <si>
    <t>本年累计金额</t>
  </si>
  <si>
    <t>一、营业收入</t>
  </si>
  <si>
    <t>减：营业成本</t>
  </si>
  <si>
    <t>税金及附加</t>
  </si>
  <si>
    <t xml:space="preserve">  其中：消费税</t>
  </si>
  <si>
    <t xml:space="preserve">        营业税</t>
  </si>
  <si>
    <t xml:space="preserve">        城市维护建设税</t>
  </si>
  <si>
    <t xml:space="preserve">        资源税</t>
  </si>
  <si>
    <t xml:space="preserve">        土地增值税</t>
  </si>
  <si>
    <t xml:space="preserve">        城镇土地使用税、房产税、车船税、印花税</t>
  </si>
  <si>
    <t xml:space="preserve">        教育费附加、矿产资源补偿费、排污费</t>
  </si>
  <si>
    <t>销售费用</t>
  </si>
  <si>
    <t xml:space="preserve">  其中：商品维修费</t>
  </si>
  <si>
    <t xml:space="preserve">        广告费和业务宣传费</t>
  </si>
  <si>
    <t>管理费用</t>
  </si>
  <si>
    <t xml:space="preserve">  其中：开办费</t>
  </si>
  <si>
    <t xml:space="preserve">       业务招待费</t>
  </si>
  <si>
    <t xml:space="preserve">       研究费用</t>
  </si>
  <si>
    <t>财务费用</t>
  </si>
  <si>
    <t xml:space="preserve">  其中：利息费用（收入以“-”号填列）</t>
  </si>
  <si>
    <t>加：投资收益（损失以“-”号填列）</t>
  </si>
  <si>
    <t>二、营业利润（亏损以“-”号填列）</t>
  </si>
  <si>
    <t xml:space="preserve">加：营业外收入 </t>
  </si>
  <si>
    <t xml:space="preserve">    其中：政府补助 </t>
  </si>
  <si>
    <t xml:space="preserve">减：营业外支出 </t>
  </si>
  <si>
    <t xml:space="preserve">    其中：坏账损失 </t>
  </si>
  <si>
    <t xml:space="preserve">          无法收回的长期债券投资损失 </t>
  </si>
  <si>
    <t xml:space="preserve">          无法收回的长期股权投资损失 </t>
  </si>
  <si>
    <t xml:space="preserve">          自然灾害等不可抗力因素造成的损失</t>
  </si>
  <si>
    <t xml:space="preserve">          税收滞纳金 </t>
  </si>
  <si>
    <t>三、利润总额（亏损总额以“-”号填列）</t>
  </si>
  <si>
    <t>减：所得税费用</t>
  </si>
  <si>
    <t>四、净利润（净亏损以“-”号填列）</t>
  </si>
  <si>
    <t>现金流量表_月季报（适用执行小企业会计准则的企业）</t>
  </si>
  <si>
    <t>会小企03表   单位：元</t>
  </si>
  <si>
    <t>一、经营活动生产的现金流量：</t>
  </si>
  <si>
    <t>销售产成品、商品、提供劳务收到的现金</t>
  </si>
  <si>
    <t>收到其他与经营活动有关的现金</t>
  </si>
  <si>
    <t xml:space="preserve">购买原材料、商品、接受劳务支付的现金 </t>
  </si>
  <si>
    <t>支付的职工薪酬</t>
  </si>
  <si>
    <t>支付的税费</t>
  </si>
  <si>
    <t>支付其他与经营活动有关的现金</t>
  </si>
  <si>
    <t xml:space="preserve">    经营活动产生的现金流量净额 </t>
  </si>
  <si>
    <t>二、投资活动产生的现金流量：</t>
  </si>
  <si>
    <t>收回短期投资、长期债券投资和长期股权投资收到的现金</t>
  </si>
  <si>
    <t>取得投资收益收到的现金</t>
  </si>
  <si>
    <t>处置固定资产、无形资产和其他非流动资产收回的现金净额</t>
  </si>
  <si>
    <t>短期投资、长期债券投资和长期股权投资支付的现金</t>
  </si>
  <si>
    <t>购建固定资产、无形资产和其他非流动资产支付的现金</t>
  </si>
  <si>
    <t xml:space="preserve">    投资活动产生的现金流量净额</t>
  </si>
  <si>
    <t>三、筹资活动产生的现金流量：</t>
  </si>
  <si>
    <t>取得借款收到的现金</t>
  </si>
  <si>
    <t>吸收投资者投资收到的现金</t>
  </si>
  <si>
    <t>偿还借款本金支付的现金</t>
  </si>
  <si>
    <t>偿还借款利息支付的现金</t>
  </si>
  <si>
    <t>分配利润支付的现金</t>
  </si>
  <si>
    <t xml:space="preserve">    筹资活动产生的现金流量净额</t>
  </si>
  <si>
    <t>四、现金净增加额</t>
  </si>
  <si>
    <t>加：期初现金余额</t>
  </si>
  <si>
    <t>五、期末现金余额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</si>
</sst>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yyyy/m/d;@"/>
    <numFmt numFmtId="178" formatCode="#,##0.00_ "/>
    <numFmt numFmtId="179" formatCode="0.00_ "/>
    <numFmt numFmtId="180" formatCode="0.00_);[Red]\(0.00\)"/>
  </numFmts>
  <fonts count="23" x14ac:knownFonts="1">
    <font>
      <sz val="11"/>
      <name val="宋体"/>
      <charset val="134"/>
    </font>
    <font>
      <b/>
      <sz val="14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4"/>
      <color indexed="8"/>
      <name val="宋体"/>
      <family val="3"/>
      <charset val="134"/>
    </font>
    <font>
      <sz val="14"/>
      <name val="宋体"/>
      <family val="3"/>
      <charset val="134"/>
    </font>
    <font>
      <sz val="10"/>
      <name val="宋体"/>
      <family val="3"/>
      <charset val="134"/>
    </font>
    <font>
      <b/>
      <sz val="18"/>
      <color indexed="49"/>
      <name val="宋体"/>
      <family val="3"/>
      <charset val="134"/>
    </font>
    <font>
      <b/>
      <sz val="15"/>
      <color indexed="49"/>
      <name val="宋体"/>
      <family val="3"/>
      <charset val="134"/>
    </font>
    <font>
      <b/>
      <sz val="13"/>
      <color indexed="49"/>
      <name val="宋体"/>
      <family val="3"/>
      <charset val="134"/>
    </font>
    <font>
      <b/>
      <sz val="11"/>
      <color indexed="49"/>
      <name val="宋体"/>
      <family val="3"/>
      <charset val="134"/>
    </font>
    <font>
      <sz val="11"/>
      <color indexed="54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">
    <xf numFmtId="0" fontId="0" fillId="0" borderId="0"/>
    <xf numFmtId="0" fontId="18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0" fillId="0" borderId="0"/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21" fillId="2" borderId="1" applyNumberFormat="0" applyFont="0" applyAlignment="0" applyProtection="0">
      <alignment vertical="center"/>
    </xf>
  </cellStyleXfs>
  <cellXfs count="97">
    <xf numFmtId="0" fontId="0" fillId="0" borderId="0" xfId="0"/>
    <xf numFmtId="0" fontId="0" fillId="0" borderId="0" xfId="0" applyNumberFormat="1" applyFont="1" applyFill="1" applyBorder="1" applyAlignment="1" applyProtection="1"/>
    <xf numFmtId="0" fontId="1" fillId="15" borderId="0" xfId="0" applyNumberFormat="1" applyFont="1" applyFill="1" applyBorder="1" applyAlignment="1" applyProtection="1">
      <alignment horizontal="center" vertical="center"/>
    </xf>
    <xf numFmtId="0" fontId="0" fillId="15" borderId="0" xfId="0" applyNumberFormat="1" applyFont="1" applyFill="1" applyBorder="1" applyAlignment="1" applyProtection="1"/>
    <xf numFmtId="0" fontId="2" fillId="15" borderId="0" xfId="0" applyFont="1" applyFill="1" applyAlignment="1">
      <alignment horizontal="right" vertical="center"/>
    </xf>
    <xf numFmtId="176" fontId="2" fillId="16" borderId="11" xfId="0" applyNumberFormat="1" applyFont="1" applyFill="1" applyBorder="1" applyAlignment="1">
      <alignment horizontal="left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16" borderId="13" xfId="0" applyNumberFormat="1" applyFont="1" applyFill="1" applyBorder="1" applyAlignment="1">
      <alignment horizontal="left" vertical="center" wrapText="1"/>
    </xf>
    <xf numFmtId="177" fontId="2" fillId="16" borderId="15" xfId="0" applyNumberFormat="1" applyFont="1" applyFill="1" applyBorder="1" applyAlignment="1">
      <alignment horizontal="left" vertical="center" wrapText="1"/>
    </xf>
    <xf numFmtId="0" fontId="2" fillId="8" borderId="16" xfId="0" applyFont="1" applyFill="1" applyBorder="1" applyAlignment="1">
      <alignment horizontal="center" vertical="center" wrapText="1"/>
    </xf>
    <xf numFmtId="177" fontId="2" fillId="16" borderId="17" xfId="0" applyNumberFormat="1" applyFont="1" applyFill="1" applyBorder="1" applyAlignment="1">
      <alignment horizontal="left" vertical="center" wrapText="1"/>
    </xf>
    <xf numFmtId="0" fontId="3" fillId="8" borderId="18" xfId="0" applyNumberFormat="1" applyFont="1" applyFill="1" applyBorder="1" applyAlignment="1" applyProtection="1">
      <alignment horizontal="center" vertical="center"/>
    </xf>
    <xf numFmtId="0" fontId="3" fillId="8" borderId="19" xfId="0" applyNumberFormat="1" applyFont="1" applyFill="1" applyBorder="1" applyAlignment="1" applyProtection="1">
      <alignment horizontal="center" vertical="center"/>
    </xf>
    <xf numFmtId="0" fontId="3" fillId="8" borderId="21" xfId="0" applyNumberFormat="1" applyFont="1" applyFill="1" applyBorder="1" applyAlignment="1" applyProtection="1">
      <alignment horizontal="left" vertical="center"/>
    </xf>
    <xf numFmtId="0" fontId="2" fillId="8" borderId="6" xfId="0" applyNumberFormat="1" applyFont="1" applyFill="1" applyBorder="1" applyAlignment="1" applyProtection="1">
      <alignment horizontal="center" vertical="center"/>
    </xf>
    <xf numFmtId="178" fontId="2" fillId="8" borderId="6" xfId="0" applyNumberFormat="1" applyFont="1" applyFill="1" applyBorder="1" applyAlignment="1" applyProtection="1">
      <alignment horizontal="right" vertical="top"/>
    </xf>
    <xf numFmtId="0" fontId="2" fillId="8" borderId="21" xfId="0" applyNumberFormat="1" applyFont="1" applyFill="1" applyBorder="1" applyAlignment="1" applyProtection="1">
      <alignment horizontal="left" vertical="center" wrapText="1"/>
    </xf>
    <xf numFmtId="179" fontId="2" fillId="0" borderId="6" xfId="0" applyNumberFormat="1" applyFont="1" applyFill="1" applyBorder="1" applyAlignment="1" applyProtection="1">
      <alignment horizontal="right" vertical="center"/>
      <protection locked="0"/>
    </xf>
    <xf numFmtId="0" fontId="2" fillId="8" borderId="21" xfId="0" applyNumberFormat="1" applyFont="1" applyFill="1" applyBorder="1" applyAlignment="1" applyProtection="1">
      <alignment horizontal="left" vertical="center"/>
    </xf>
    <xf numFmtId="179" fontId="2" fillId="8" borderId="6" xfId="0" applyNumberFormat="1" applyFont="1" applyFill="1" applyBorder="1" applyAlignment="1" applyProtection="1">
      <alignment horizontal="right" vertical="center"/>
    </xf>
    <xf numFmtId="180" fontId="2" fillId="8" borderId="6" xfId="0" applyNumberFormat="1" applyFont="1" applyFill="1" applyBorder="1" applyAlignment="1" applyProtection="1">
      <alignment horizontal="right" vertical="center"/>
    </xf>
    <xf numFmtId="0" fontId="2" fillId="8" borderId="23" xfId="0" applyNumberFormat="1" applyFont="1" applyFill="1" applyBorder="1" applyAlignment="1" applyProtection="1">
      <alignment horizontal="left" vertical="center"/>
    </xf>
    <xf numFmtId="0" fontId="2" fillId="8" borderId="24" xfId="0" applyNumberFormat="1" applyFont="1" applyFill="1" applyBorder="1" applyAlignment="1" applyProtection="1">
      <alignment horizontal="center" vertical="center"/>
    </xf>
    <xf numFmtId="179" fontId="2" fillId="8" borderId="24" xfId="0" applyNumberFormat="1" applyFont="1" applyFill="1" applyBorder="1" applyAlignment="1" applyProtection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15" borderId="0" xfId="0" applyNumberFormat="1" applyFont="1" applyFill="1" applyBorder="1" applyAlignment="1" applyProtection="1">
      <alignment horizontal="center"/>
    </xf>
    <xf numFmtId="0" fontId="4" fillId="15" borderId="0" xfId="0" applyNumberFormat="1" applyFont="1" applyFill="1" applyBorder="1" applyAlignment="1" applyProtection="1">
      <alignment horizontal="center"/>
    </xf>
    <xf numFmtId="0" fontId="3" fillId="8" borderId="14" xfId="0" applyNumberFormat="1" applyFont="1" applyFill="1" applyBorder="1" applyAlignment="1" applyProtection="1">
      <alignment horizontal="center" vertical="center"/>
    </xf>
    <xf numFmtId="0" fontId="3" fillId="8" borderId="15" xfId="0" applyNumberFormat="1" applyFont="1" applyFill="1" applyBorder="1" applyAlignment="1" applyProtection="1">
      <alignment horizontal="center" vertical="center"/>
    </xf>
    <xf numFmtId="0" fontId="3" fillId="8" borderId="17" xfId="0" applyNumberFormat="1" applyFont="1" applyFill="1" applyBorder="1" applyAlignment="1" applyProtection="1">
      <alignment horizontal="center" vertical="center"/>
    </xf>
    <xf numFmtId="0" fontId="3" fillId="8" borderId="14" xfId="0" applyNumberFormat="1" applyFont="1" applyFill="1" applyBorder="1" applyAlignment="1" applyProtection="1">
      <alignment horizontal="left" vertical="center"/>
    </xf>
    <xf numFmtId="0" fontId="2" fillId="8" borderId="15" xfId="0" applyNumberFormat="1" applyFont="1" applyFill="1" applyBorder="1" applyAlignment="1" applyProtection="1">
      <alignment horizontal="center" vertical="center"/>
    </xf>
    <xf numFmtId="179" fontId="2" fillId="0" borderId="15" xfId="0" applyNumberFormat="1" applyFont="1" applyFill="1" applyBorder="1" applyAlignment="1" applyProtection="1">
      <alignment vertical="center"/>
      <protection locked="0"/>
    </xf>
    <xf numFmtId="179" fontId="2" fillId="0" borderId="15" xfId="0" applyNumberFormat="1" applyFont="1" applyFill="1" applyBorder="1" applyAlignment="1" applyProtection="1">
      <alignment horizontal="right" vertical="center"/>
      <protection locked="0"/>
    </xf>
    <xf numFmtId="179" fontId="2" fillId="15" borderId="15" xfId="0" applyNumberFormat="1" applyFont="1" applyFill="1" applyBorder="1" applyAlignment="1" applyProtection="1">
      <alignment vertical="center"/>
      <protection locked="0"/>
    </xf>
    <xf numFmtId="0" fontId="2" fillId="8" borderId="14" xfId="0" applyNumberFormat="1" applyFont="1" applyFill="1" applyBorder="1" applyAlignment="1" applyProtection="1">
      <alignment horizontal="left" vertical="center"/>
    </xf>
    <xf numFmtId="0" fontId="2" fillId="8" borderId="14" xfId="0" applyNumberFormat="1" applyFont="1" applyFill="1" applyBorder="1" applyAlignment="1" applyProtection="1">
      <alignment horizontal="left" vertical="center" wrapText="1"/>
    </xf>
    <xf numFmtId="0" fontId="3" fillId="8" borderId="14" xfId="0" applyNumberFormat="1" applyFont="1" applyFill="1" applyBorder="1" applyAlignment="1" applyProtection="1">
      <alignment horizontal="left" vertical="center" wrapText="1"/>
    </xf>
    <xf numFmtId="179" fontId="2" fillId="8" borderId="15" xfId="0" applyNumberFormat="1" applyFont="1" applyFill="1" applyBorder="1" applyAlignment="1" applyProtection="1">
      <alignment vertical="center"/>
    </xf>
    <xf numFmtId="179" fontId="2" fillId="8" borderId="15" xfId="0" applyNumberFormat="1" applyFont="1" applyFill="1" applyBorder="1" applyAlignment="1" applyProtection="1">
      <alignment horizontal="right" vertical="center"/>
    </xf>
    <xf numFmtId="0" fontId="3" fillId="8" borderId="26" xfId="0" applyNumberFormat="1" applyFont="1" applyFill="1" applyBorder="1" applyAlignment="1" applyProtection="1">
      <alignment horizontal="left" vertical="center" wrapText="1"/>
    </xf>
    <xf numFmtId="0" fontId="2" fillId="8" borderId="27" xfId="0" applyNumberFormat="1" applyFont="1" applyFill="1" applyBorder="1" applyAlignment="1" applyProtection="1">
      <alignment horizontal="center" vertical="center"/>
    </xf>
    <xf numFmtId="179" fontId="2" fillId="8" borderId="27" xfId="0" applyNumberFormat="1" applyFont="1" applyFill="1" applyBorder="1" applyAlignment="1" applyProtection="1">
      <alignment vertical="center"/>
    </xf>
    <xf numFmtId="179" fontId="2" fillId="8" borderId="27" xfId="0" applyNumberFormat="1" applyFont="1" applyFill="1" applyBorder="1" applyAlignment="1" applyProtection="1">
      <alignment horizontal="right" vertical="center"/>
    </xf>
    <xf numFmtId="0" fontId="5" fillId="0" borderId="0" xfId="0" applyFont="1"/>
    <xf numFmtId="0" fontId="6" fillId="0" borderId="0" xfId="0" applyFont="1"/>
    <xf numFmtId="0" fontId="5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3" fillId="15" borderId="0" xfId="0" applyNumberFormat="1" applyFont="1" applyFill="1" applyBorder="1" applyAlignment="1" applyProtection="1">
      <alignment horizontal="center"/>
    </xf>
    <xf numFmtId="0" fontId="2" fillId="8" borderId="15" xfId="0" applyNumberFormat="1" applyFont="1" applyFill="1" applyBorder="1" applyAlignment="1" applyProtection="1">
      <alignment horizontal="right" vertical="center"/>
    </xf>
    <xf numFmtId="0" fontId="3" fillId="8" borderId="15" xfId="0" applyNumberFormat="1" applyFont="1" applyFill="1" applyBorder="1" applyAlignment="1" applyProtection="1">
      <alignment horizontal="left" vertical="center"/>
    </xf>
    <xf numFmtId="0" fontId="2" fillId="8" borderId="14" xfId="0" applyNumberFormat="1" applyFont="1" applyFill="1" applyBorder="1" applyAlignment="1" applyProtection="1">
      <alignment vertical="center"/>
    </xf>
    <xf numFmtId="0" fontId="2" fillId="8" borderId="15" xfId="0" applyNumberFormat="1" applyFont="1" applyFill="1" applyBorder="1" applyAlignment="1" applyProtection="1">
      <alignment horizontal="left" vertical="center"/>
    </xf>
    <xf numFmtId="0" fontId="3" fillId="8" borderId="15" xfId="0" applyNumberFormat="1" applyFont="1" applyFill="1" applyBorder="1" applyAlignment="1" applyProtection="1">
      <alignment horizontal="left" vertical="center" wrapText="1"/>
    </xf>
    <xf numFmtId="0" fontId="2" fillId="8" borderId="15" xfId="0" applyNumberFormat="1" applyFont="1" applyFill="1" applyBorder="1" applyAlignment="1" applyProtection="1">
      <alignment horizontal="left" vertical="center" wrapText="1"/>
    </xf>
    <xf numFmtId="0" fontId="2" fillId="8" borderId="26" xfId="0" applyNumberFormat="1" applyFont="1" applyFill="1" applyBorder="1" applyAlignment="1" applyProtection="1">
      <alignment vertical="center"/>
    </xf>
    <xf numFmtId="0" fontId="2" fillId="8" borderId="27" xfId="0" applyNumberFormat="1" applyFont="1" applyFill="1" applyBorder="1" applyAlignment="1" applyProtection="1">
      <alignment horizontal="left" vertical="center" wrapText="1"/>
    </xf>
    <xf numFmtId="0" fontId="5" fillId="15" borderId="0" xfId="0" applyNumberFormat="1" applyFont="1" applyFill="1" applyBorder="1" applyAlignment="1" applyProtection="1"/>
    <xf numFmtId="0" fontId="2" fillId="17" borderId="0" xfId="0" applyNumberFormat="1" applyFont="1" applyFill="1" applyBorder="1" applyAlignment="1" applyProtection="1">
      <alignment horizontal="right" vertical="center"/>
    </xf>
    <xf numFmtId="0" fontId="6" fillId="15" borderId="0" xfId="0" applyNumberFormat="1" applyFont="1" applyFill="1" applyBorder="1" applyAlignment="1" applyProtection="1"/>
    <xf numFmtId="0" fontId="2" fillId="8" borderId="17" xfId="0" applyNumberFormat="1" applyFont="1" applyFill="1" applyBorder="1" applyAlignment="1" applyProtection="1">
      <alignment vertical="center"/>
    </xf>
    <xf numFmtId="179" fontId="2" fillId="0" borderId="17" xfId="0" applyNumberFormat="1" applyFont="1" applyFill="1" applyBorder="1" applyAlignment="1" applyProtection="1">
      <alignment vertical="center"/>
      <protection locked="0"/>
    </xf>
    <xf numFmtId="179" fontId="2" fillId="8" borderId="17" xfId="0" applyNumberFormat="1" applyFont="1" applyFill="1" applyBorder="1" applyAlignment="1" applyProtection="1">
      <alignment vertical="center"/>
    </xf>
    <xf numFmtId="179" fontId="2" fillId="8" borderId="28" xfId="0" applyNumberFormat="1" applyFont="1" applyFill="1" applyBorder="1" applyAlignment="1" applyProtection="1">
      <alignment vertical="center"/>
    </xf>
    <xf numFmtId="0" fontId="1" fillId="15" borderId="0" xfId="0" applyNumberFormat="1" applyFont="1" applyFill="1" applyBorder="1" applyAlignment="1" applyProtection="1">
      <alignment horizontal="center" vertical="center"/>
    </xf>
    <xf numFmtId="0" fontId="2" fillId="8" borderId="10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1" xfId="0" applyFont="1" applyFill="1" applyBorder="1" applyAlignment="1" applyProtection="1">
      <alignment horizontal="left" vertical="center" wrapText="1"/>
      <protection locked="0"/>
    </xf>
    <xf numFmtId="0" fontId="2" fillId="0" borderId="13" xfId="0" applyFont="1" applyFill="1" applyBorder="1" applyAlignment="1" applyProtection="1">
      <alignment horizontal="left" vertical="center" wrapText="1"/>
      <protection locked="0"/>
    </xf>
    <xf numFmtId="0" fontId="2" fillId="8" borderId="1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177" fontId="2" fillId="0" borderId="15" xfId="0" applyNumberFormat="1" applyFont="1" applyFill="1" applyBorder="1" applyAlignment="1" applyProtection="1">
      <alignment horizontal="left" vertical="center" wrapText="1"/>
      <protection locked="0"/>
    </xf>
    <xf numFmtId="14" fontId="2" fillId="8" borderId="15" xfId="0" applyNumberFormat="1" applyFont="1" applyFill="1" applyBorder="1" applyAlignment="1">
      <alignment horizontal="center" vertical="center" wrapText="1"/>
    </xf>
    <xf numFmtId="177" fontId="2" fillId="0" borderId="17" xfId="0" applyNumberFormat="1" applyFont="1" applyFill="1" applyBorder="1" applyAlignment="1" applyProtection="1">
      <alignment horizontal="left" vertical="center" wrapText="1"/>
      <protection locked="0"/>
    </xf>
    <xf numFmtId="0" fontId="4" fillId="15" borderId="0" xfId="0" applyNumberFormat="1" applyFont="1" applyFill="1" applyBorder="1" applyAlignment="1" applyProtection="1">
      <alignment horizontal="center" vertical="center"/>
    </xf>
    <xf numFmtId="0" fontId="3" fillId="8" borderId="15" xfId="0" applyNumberFormat="1" applyFont="1" applyFill="1" applyBorder="1" applyAlignment="1" applyProtection="1">
      <alignment horizontal="center" vertical="center"/>
    </xf>
    <xf numFmtId="0" fontId="3" fillId="8" borderId="17" xfId="0" applyNumberFormat="1" applyFont="1" applyFill="1" applyBorder="1" applyAlignment="1" applyProtection="1">
      <alignment horizontal="center" vertical="center"/>
    </xf>
    <xf numFmtId="179" fontId="2" fillId="0" borderId="15" xfId="0" applyNumberFormat="1" applyFont="1" applyFill="1" applyBorder="1" applyAlignment="1" applyProtection="1">
      <alignment horizontal="right" vertical="center"/>
      <protection locked="0"/>
    </xf>
    <xf numFmtId="179" fontId="2" fillId="0" borderId="17" xfId="0" applyNumberFormat="1" applyFont="1" applyFill="1" applyBorder="1" applyAlignment="1" applyProtection="1">
      <alignment horizontal="right" vertical="center"/>
      <protection locked="0"/>
    </xf>
    <xf numFmtId="179" fontId="2" fillId="8" borderId="15" xfId="0" applyNumberFormat="1" applyFont="1" applyFill="1" applyBorder="1" applyAlignment="1" applyProtection="1">
      <alignment horizontal="right" vertical="center"/>
    </xf>
    <xf numFmtId="179" fontId="2" fillId="8" borderId="17" xfId="0" applyNumberFormat="1" applyFont="1" applyFill="1" applyBorder="1" applyAlignment="1" applyProtection="1">
      <alignment horizontal="right" vertical="center"/>
    </xf>
    <xf numFmtId="179" fontId="2" fillId="8" borderId="27" xfId="0" applyNumberFormat="1" applyFont="1" applyFill="1" applyBorder="1" applyAlignment="1" applyProtection="1">
      <alignment horizontal="right" vertical="center"/>
    </xf>
    <xf numFmtId="179" fontId="2" fillId="8" borderId="28" xfId="0" applyNumberFormat="1" applyFont="1" applyFill="1" applyBorder="1" applyAlignment="1" applyProtection="1">
      <alignment horizontal="right" vertical="center"/>
    </xf>
    <xf numFmtId="0" fontId="3" fillId="8" borderId="19" xfId="0" applyNumberFormat="1" applyFont="1" applyFill="1" applyBorder="1" applyAlignment="1" applyProtection="1">
      <alignment horizontal="center" vertical="center"/>
    </xf>
    <xf numFmtId="0" fontId="3" fillId="8" borderId="20" xfId="0" applyNumberFormat="1" applyFont="1" applyFill="1" applyBorder="1" applyAlignment="1" applyProtection="1">
      <alignment horizontal="center" vertical="center"/>
    </xf>
    <xf numFmtId="178" fontId="2" fillId="8" borderId="6" xfId="0" applyNumberFormat="1" applyFont="1" applyFill="1" applyBorder="1" applyAlignment="1" applyProtection="1">
      <alignment horizontal="right" vertical="center"/>
    </xf>
    <xf numFmtId="0" fontId="2" fillId="8" borderId="22" xfId="0" applyNumberFormat="1" applyFont="1" applyFill="1" applyBorder="1" applyAlignment="1" applyProtection="1">
      <alignment horizontal="right" vertical="center"/>
    </xf>
    <xf numFmtId="179" fontId="2" fillId="0" borderId="6" xfId="0" applyNumberFormat="1" applyFont="1" applyFill="1" applyBorder="1" applyAlignment="1" applyProtection="1">
      <alignment horizontal="right" vertical="center"/>
      <protection locked="0"/>
    </xf>
    <xf numFmtId="179" fontId="2" fillId="0" borderId="22" xfId="0" applyNumberFormat="1" applyFont="1" applyFill="1" applyBorder="1" applyAlignment="1" applyProtection="1">
      <alignment horizontal="right" vertical="center"/>
      <protection locked="0"/>
    </xf>
    <xf numFmtId="179" fontId="2" fillId="8" borderId="6" xfId="0" applyNumberFormat="1" applyFont="1" applyFill="1" applyBorder="1" applyAlignment="1" applyProtection="1">
      <alignment horizontal="right" vertical="center"/>
    </xf>
    <xf numFmtId="179" fontId="2" fillId="8" borderId="22" xfId="0" applyNumberFormat="1" applyFont="1" applyFill="1" applyBorder="1" applyAlignment="1" applyProtection="1">
      <alignment horizontal="right" vertical="center"/>
    </xf>
    <xf numFmtId="180" fontId="2" fillId="8" borderId="6" xfId="0" applyNumberFormat="1" applyFont="1" applyFill="1" applyBorder="1" applyAlignment="1" applyProtection="1">
      <alignment horizontal="right" vertical="center"/>
    </xf>
    <xf numFmtId="180" fontId="2" fillId="8" borderId="22" xfId="0" applyNumberFormat="1" applyFont="1" applyFill="1" applyBorder="1" applyAlignment="1" applyProtection="1">
      <alignment horizontal="right" vertical="center"/>
    </xf>
    <xf numFmtId="179" fontId="2" fillId="8" borderId="24" xfId="0" applyNumberFormat="1" applyFont="1" applyFill="1" applyBorder="1" applyAlignment="1" applyProtection="1">
      <alignment horizontal="right" vertical="center"/>
    </xf>
    <xf numFmtId="179" fontId="2" fillId="8" borderId="25" xfId="0" applyNumberFormat="1" applyFont="1" applyFill="1" applyBorder="1" applyAlignment="1" applyProtection="1">
      <alignment horizontal="right" vertical="center"/>
    </xf>
  </cellXfs>
  <cellStyles count="36">
    <cellStyle name="20% - 强调文字颜色 1 2" xfId="1" xr:uid="{FAB745D9-5410-4967-9726-0DD8A947941A}"/>
    <cellStyle name="20% - 强调文字颜色 2 2" xfId="11" xr:uid="{ED1CDE67-07EE-4499-AEAA-C538A8EE2E01}"/>
    <cellStyle name="20% - 强调文字颜色 4 2" xfId="13" xr:uid="{4D42DFF9-5197-4A21-B309-BB2E7A9A91FF}"/>
    <cellStyle name="20% - 强调文字颜色 6 2" xfId="14" xr:uid="{3C79A239-19E0-4DA7-82AB-9BC58C5821F0}"/>
    <cellStyle name="40% - 强调文字颜色 1 2" xfId="5" xr:uid="{66A0750C-0652-4D78-8639-FDF7E6A0290D}"/>
    <cellStyle name="40% - 强调文字颜色 4 2" xfId="4" xr:uid="{42FB8D72-948D-447C-B8D7-6431DF22AC8D}"/>
    <cellStyle name="40% - 强调文字颜色 5 2" xfId="7" xr:uid="{D2025165-B487-4863-AF8F-672C66DB4235}"/>
    <cellStyle name="40% - 强调文字颜色 6 2" xfId="10" xr:uid="{6060E374-4FE8-4F1D-81CC-F5CD500E71E1}"/>
    <cellStyle name="60% - 强调文字颜色 1 2" xfId="16" xr:uid="{C58532EE-85E5-41F0-9CE8-178EC290B59B}"/>
    <cellStyle name="60% - 强调文字颜色 4 2" xfId="8" xr:uid="{1CDA1332-F16E-4640-9B18-03038D4C4635}"/>
    <cellStyle name="60% - 强调文字颜色 5 2" xfId="2" xr:uid="{3C1E4899-D11B-461C-B3AF-BA2FB03D9013}"/>
    <cellStyle name="60% - 强调文字颜色 6 2" xfId="17" xr:uid="{A72DEE9C-373D-4F91-9EC7-9C3607217B48}"/>
    <cellStyle name="标题 1 2" xfId="6" xr:uid="{5A1C6F2C-3359-4AAC-97F0-7A6916FECFFC}"/>
    <cellStyle name="标题 2 2" xfId="18" xr:uid="{0E4F10A3-CB24-46CB-8C4B-A86BD0D67467}"/>
    <cellStyle name="标题 3 2" xfId="15" xr:uid="{BABDE6E1-D0AB-4B3D-9DD5-BFDF96F289A5}"/>
    <cellStyle name="标题 4 2" xfId="19" xr:uid="{C6C8CC0C-8A4A-4902-8E72-C09A31081019}"/>
    <cellStyle name="标题 5" xfId="20" xr:uid="{99D2DDED-288F-4724-A76A-66F61CF8C998}"/>
    <cellStyle name="常规" xfId="0" builtinId="0"/>
    <cellStyle name="常规 2" xfId="21" xr:uid="{C6AA3345-DD93-49DE-9B54-8B84B1B8AA14}"/>
    <cellStyle name="常规 2 2" xfId="22" xr:uid="{82D3EAB7-E681-431C-BDD9-9B09059FED6D}"/>
    <cellStyle name="常规 3" xfId="12" xr:uid="{D562E575-BC4A-438F-8564-AD12E1B21212}"/>
    <cellStyle name="常规 4" xfId="23" xr:uid="{C511712D-31DD-4784-9F8F-2A6DB32B58E8}"/>
    <cellStyle name="常规 4 2" xfId="24" xr:uid="{E0F499F2-1603-49E6-8214-DB57BDADBE92}"/>
    <cellStyle name="常规 5" xfId="25" xr:uid="{D1663CA0-4B56-47E2-9531-730D2F75526D}"/>
    <cellStyle name="汇总 2" xfId="26" xr:uid="{FA8BDC00-84D5-4DA4-85E5-8D9B447B795B}"/>
    <cellStyle name="计算 2" xfId="3" xr:uid="{40429C7A-FB30-43D5-A0C8-8B5B07BC0218}"/>
    <cellStyle name="检查单元格 2" xfId="27" xr:uid="{8A4C2DB0-25B0-46DD-9489-EFCBFDEA53B6}"/>
    <cellStyle name="链接单元格 2" xfId="28" xr:uid="{FDAC4480-1EA2-4993-BD95-74D557281263}"/>
    <cellStyle name="强调文字颜色 1 2" xfId="29" xr:uid="{5137AFAA-37AE-4D2E-8D3F-7FD627106D40}"/>
    <cellStyle name="强调文字颜色 3 2" xfId="30" xr:uid="{27E44D75-F3F1-4D99-AA67-BEFBFAFE481C}"/>
    <cellStyle name="强调文字颜色 4 2" xfId="31" xr:uid="{802F03D6-5358-4442-8C6D-CC7981680849}"/>
    <cellStyle name="强调文字颜色 5 2" xfId="32" xr:uid="{C9809081-7E49-4CDC-8C75-FCAFEF7A33ED}"/>
    <cellStyle name="强调文字颜色 6 2" xfId="33" xr:uid="{0E2A7E95-57D5-41CB-80AE-FB4BE2A9F1F6}"/>
    <cellStyle name="适中 2" xfId="9" xr:uid="{8E6C8696-EE14-4C67-9807-C7A4159FE722}"/>
    <cellStyle name="输入 2" xfId="34" xr:uid="{0F2D72AE-8595-420C-8AF9-323E9C0BBF77}"/>
    <cellStyle name="注释 2" xfId="35" xr:uid="{59EC8DA7-1669-4514-A3D1-FA7ECE0D2A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E0E0"/>
      <rgbColor rgb="00993300"/>
      <rgbColor rgb="00A0A0A0"/>
      <rgbColor rgb="00B4B4B4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6567-7F72-4E64-A4D3-75596D54B9CC}">
  <sheetPr>
    <pageSetUpPr autoPageBreaks="0"/>
  </sheetPr>
  <dimension ref="A1:J37"/>
  <sheetViews>
    <sheetView showGridLines="0" tabSelected="1" workbookViewId="0">
      <selection activeCell="D3" sqref="D3:E3"/>
    </sheetView>
  </sheetViews>
  <sheetFormatPr defaultColWidth="8.73046875" defaultRowHeight="14.25" customHeight="1" x14ac:dyDescent="0.3"/>
  <cols>
    <col min="1" max="1" width="5" style="46" customWidth="1"/>
    <col min="2" max="2" width="20.59765625" style="46" customWidth="1"/>
    <col min="3" max="3" width="5.59765625" style="46" customWidth="1"/>
    <col min="4" max="6" width="20.59765625" style="46" customWidth="1"/>
    <col min="7" max="7" width="5.59765625" style="46" customWidth="1"/>
    <col min="8" max="9" width="20.59765625" style="46" customWidth="1"/>
    <col min="10" max="10" width="5" style="46" customWidth="1"/>
    <col min="11" max="16384" width="8.73046875" style="46"/>
  </cols>
  <sheetData>
    <row r="1" spans="1:10" s="45" customFormat="1" ht="36.75" customHeight="1" x14ac:dyDescent="0.4">
      <c r="A1" s="47"/>
      <c r="B1" s="65" t="s">
        <v>0</v>
      </c>
      <c r="C1" s="65"/>
      <c r="D1" s="65"/>
      <c r="E1" s="65"/>
      <c r="F1" s="65"/>
      <c r="G1" s="65"/>
      <c r="H1" s="65"/>
      <c r="I1" s="65"/>
      <c r="J1" s="58"/>
    </row>
    <row r="2" spans="1:10" ht="22.5" customHeight="1" x14ac:dyDescent="0.3">
      <c r="A2" s="48"/>
      <c r="B2" s="49"/>
      <c r="C2" s="49"/>
      <c r="D2" s="49"/>
      <c r="E2" s="49"/>
      <c r="F2" s="49"/>
      <c r="G2" s="49"/>
      <c r="H2" s="49"/>
      <c r="I2" s="59" t="s">
        <v>1</v>
      </c>
      <c r="J2" s="60"/>
    </row>
    <row r="3" spans="1:10" ht="28.05" customHeight="1" x14ac:dyDescent="0.3">
      <c r="A3" s="48"/>
      <c r="B3" s="66" t="s">
        <v>2</v>
      </c>
      <c r="C3" s="67"/>
      <c r="D3" s="68"/>
      <c r="E3" s="68"/>
      <c r="F3" s="67" t="s">
        <v>3</v>
      </c>
      <c r="G3" s="67"/>
      <c r="H3" s="69"/>
      <c r="I3" s="70"/>
      <c r="J3" s="60"/>
    </row>
    <row r="4" spans="1:10" ht="28.05" customHeight="1" x14ac:dyDescent="0.3">
      <c r="A4" s="48"/>
      <c r="B4" s="71" t="s">
        <v>4</v>
      </c>
      <c r="C4" s="72"/>
      <c r="D4" s="73"/>
      <c r="E4" s="73"/>
      <c r="F4" s="74" t="s">
        <v>5</v>
      </c>
      <c r="G4" s="74"/>
      <c r="H4" s="73"/>
      <c r="I4" s="75"/>
      <c r="J4" s="60"/>
    </row>
    <row r="5" spans="1:10" ht="28.05" customHeight="1" x14ac:dyDescent="0.3">
      <c r="A5" s="48"/>
      <c r="B5" s="28" t="s">
        <v>6</v>
      </c>
      <c r="C5" s="29" t="s">
        <v>7</v>
      </c>
      <c r="D5" s="29" t="s">
        <v>8</v>
      </c>
      <c r="E5" s="29" t="s">
        <v>9</v>
      </c>
      <c r="F5" s="29" t="s">
        <v>10</v>
      </c>
      <c r="G5" s="29" t="s">
        <v>7</v>
      </c>
      <c r="H5" s="29" t="s">
        <v>8</v>
      </c>
      <c r="I5" s="30" t="s">
        <v>9</v>
      </c>
      <c r="J5" s="60"/>
    </row>
    <row r="6" spans="1:10" ht="28.05" customHeight="1" x14ac:dyDescent="0.3">
      <c r="A6" s="48"/>
      <c r="B6" s="31" t="s">
        <v>11</v>
      </c>
      <c r="C6" s="32"/>
      <c r="D6" s="50"/>
      <c r="E6" s="50"/>
      <c r="F6" s="51" t="s">
        <v>12</v>
      </c>
      <c r="G6" s="32"/>
      <c r="H6" s="50"/>
      <c r="I6" s="61"/>
      <c r="J6" s="60"/>
    </row>
    <row r="7" spans="1:10" ht="28.05" customHeight="1" x14ac:dyDescent="0.3">
      <c r="A7" s="48"/>
      <c r="B7" s="52" t="s">
        <v>13</v>
      </c>
      <c r="C7" s="32">
        <v>1</v>
      </c>
      <c r="D7" s="34">
        <v>0</v>
      </c>
      <c r="E7" s="34">
        <v>0</v>
      </c>
      <c r="F7" s="53" t="s">
        <v>14</v>
      </c>
      <c r="G7" s="32">
        <v>31</v>
      </c>
      <c r="H7" s="34">
        <v>0</v>
      </c>
      <c r="I7" s="62">
        <v>0</v>
      </c>
      <c r="J7" s="60"/>
    </row>
    <row r="8" spans="1:10" ht="28.05" customHeight="1" x14ac:dyDescent="0.3">
      <c r="A8" s="48"/>
      <c r="B8" s="52" t="s">
        <v>15</v>
      </c>
      <c r="C8" s="32">
        <v>2</v>
      </c>
      <c r="D8" s="34">
        <v>0</v>
      </c>
      <c r="E8" s="34">
        <v>0</v>
      </c>
      <c r="F8" s="53" t="s">
        <v>16</v>
      </c>
      <c r="G8" s="32">
        <v>32</v>
      </c>
      <c r="H8" s="34">
        <v>0</v>
      </c>
      <c r="I8" s="62">
        <v>0</v>
      </c>
      <c r="J8" s="60"/>
    </row>
    <row r="9" spans="1:10" ht="28.05" customHeight="1" x14ac:dyDescent="0.3">
      <c r="A9" s="48"/>
      <c r="B9" s="52" t="s">
        <v>17</v>
      </c>
      <c r="C9" s="32">
        <v>3</v>
      </c>
      <c r="D9" s="34">
        <v>0</v>
      </c>
      <c r="E9" s="34">
        <v>0</v>
      </c>
      <c r="F9" s="53" t="s">
        <v>18</v>
      </c>
      <c r="G9" s="32">
        <v>33</v>
      </c>
      <c r="H9" s="34">
        <v>0</v>
      </c>
      <c r="I9" s="62">
        <v>0</v>
      </c>
      <c r="J9" s="60"/>
    </row>
    <row r="10" spans="1:10" ht="28.05" customHeight="1" x14ac:dyDescent="0.3">
      <c r="A10" s="48"/>
      <c r="B10" s="52" t="s">
        <v>19</v>
      </c>
      <c r="C10" s="32">
        <v>4</v>
      </c>
      <c r="D10" s="34">
        <v>0</v>
      </c>
      <c r="E10" s="34">
        <v>0</v>
      </c>
      <c r="F10" s="53" t="s">
        <v>20</v>
      </c>
      <c r="G10" s="32">
        <v>34</v>
      </c>
      <c r="H10" s="34">
        <v>0</v>
      </c>
      <c r="I10" s="62">
        <v>0</v>
      </c>
      <c r="J10" s="60"/>
    </row>
    <row r="11" spans="1:10" ht="28.05" customHeight="1" x14ac:dyDescent="0.3">
      <c r="A11" s="48"/>
      <c r="B11" s="52" t="s">
        <v>21</v>
      </c>
      <c r="C11" s="32">
        <v>5</v>
      </c>
      <c r="D11" s="34">
        <v>0</v>
      </c>
      <c r="E11" s="34">
        <v>0</v>
      </c>
      <c r="F11" s="53" t="s">
        <v>22</v>
      </c>
      <c r="G11" s="32">
        <v>35</v>
      </c>
      <c r="H11" s="34">
        <v>0</v>
      </c>
      <c r="I11" s="62">
        <v>0</v>
      </c>
      <c r="J11" s="60"/>
    </row>
    <row r="12" spans="1:10" ht="28.05" customHeight="1" x14ac:dyDescent="0.3">
      <c r="A12" s="48"/>
      <c r="B12" s="52" t="s">
        <v>23</v>
      </c>
      <c r="C12" s="32">
        <v>6</v>
      </c>
      <c r="D12" s="34">
        <v>0</v>
      </c>
      <c r="E12" s="34">
        <v>0</v>
      </c>
      <c r="F12" s="53" t="s">
        <v>24</v>
      </c>
      <c r="G12" s="32">
        <v>36</v>
      </c>
      <c r="H12" s="34">
        <v>0</v>
      </c>
      <c r="I12" s="62">
        <v>0</v>
      </c>
      <c r="J12" s="60"/>
    </row>
    <row r="13" spans="1:10" ht="28.05" customHeight="1" x14ac:dyDescent="0.3">
      <c r="A13" s="48"/>
      <c r="B13" s="52" t="s">
        <v>25</v>
      </c>
      <c r="C13" s="32">
        <v>7</v>
      </c>
      <c r="D13" s="34">
        <v>0</v>
      </c>
      <c r="E13" s="34">
        <v>0</v>
      </c>
      <c r="F13" s="53" t="s">
        <v>26</v>
      </c>
      <c r="G13" s="32">
        <v>37</v>
      </c>
      <c r="H13" s="34">
        <v>0</v>
      </c>
      <c r="I13" s="62">
        <v>0</v>
      </c>
      <c r="J13" s="60"/>
    </row>
    <row r="14" spans="1:10" ht="28.05" customHeight="1" x14ac:dyDescent="0.3">
      <c r="A14" s="48"/>
      <c r="B14" s="52" t="s">
        <v>27</v>
      </c>
      <c r="C14" s="32">
        <v>8</v>
      </c>
      <c r="D14" s="34">
        <v>0</v>
      </c>
      <c r="E14" s="34">
        <v>0</v>
      </c>
      <c r="F14" s="53" t="s">
        <v>28</v>
      </c>
      <c r="G14" s="32">
        <v>38</v>
      </c>
      <c r="H14" s="34">
        <v>0</v>
      </c>
      <c r="I14" s="62">
        <v>0</v>
      </c>
      <c r="J14" s="60"/>
    </row>
    <row r="15" spans="1:10" ht="28.05" customHeight="1" x14ac:dyDescent="0.3">
      <c r="A15" s="48"/>
      <c r="B15" s="52" t="s">
        <v>29</v>
      </c>
      <c r="C15" s="32">
        <v>9</v>
      </c>
      <c r="D15" s="34">
        <v>0</v>
      </c>
      <c r="E15" s="34">
        <v>0</v>
      </c>
      <c r="F15" s="53" t="s">
        <v>30</v>
      </c>
      <c r="G15" s="32">
        <v>39</v>
      </c>
      <c r="H15" s="34">
        <v>0</v>
      </c>
      <c r="I15" s="62">
        <v>0</v>
      </c>
      <c r="J15" s="60"/>
    </row>
    <row r="16" spans="1:10" ht="28.05" customHeight="1" x14ac:dyDescent="0.3">
      <c r="A16" s="48"/>
      <c r="B16" s="52" t="s">
        <v>31</v>
      </c>
      <c r="C16" s="32">
        <v>10</v>
      </c>
      <c r="D16" s="34">
        <v>0</v>
      </c>
      <c r="E16" s="34">
        <v>0</v>
      </c>
      <c r="F16" s="53" t="s">
        <v>32</v>
      </c>
      <c r="G16" s="32">
        <v>40</v>
      </c>
      <c r="H16" s="34">
        <v>0</v>
      </c>
      <c r="I16" s="62">
        <v>0</v>
      </c>
      <c r="J16" s="60"/>
    </row>
    <row r="17" spans="1:10" ht="28.05" customHeight="1" x14ac:dyDescent="0.3">
      <c r="A17" s="48"/>
      <c r="B17" s="52" t="s">
        <v>33</v>
      </c>
      <c r="C17" s="32">
        <v>11</v>
      </c>
      <c r="D17" s="34">
        <v>0</v>
      </c>
      <c r="E17" s="34">
        <v>0</v>
      </c>
      <c r="F17" s="53" t="s">
        <v>34</v>
      </c>
      <c r="G17" s="32">
        <v>41</v>
      </c>
      <c r="H17" s="40">
        <f>ROUND(H7+H8+H9+H10+H11+H12+H13+H14+H15+H16,2)</f>
        <v>0</v>
      </c>
      <c r="I17" s="63">
        <f>ROUND(I7+I8+I9+I10+I11+I12+I13+I14+I15+I16,2)</f>
        <v>0</v>
      </c>
      <c r="J17" s="60"/>
    </row>
    <row r="18" spans="1:10" ht="28.05" customHeight="1" x14ac:dyDescent="0.3">
      <c r="A18" s="48"/>
      <c r="B18" s="52" t="s">
        <v>35</v>
      </c>
      <c r="C18" s="32">
        <v>12</v>
      </c>
      <c r="D18" s="34">
        <v>0</v>
      </c>
      <c r="E18" s="34">
        <v>0</v>
      </c>
      <c r="F18" s="53" t="s">
        <v>36</v>
      </c>
      <c r="G18" s="32"/>
      <c r="H18" s="50"/>
      <c r="I18" s="61"/>
      <c r="J18" s="60"/>
    </row>
    <row r="19" spans="1:10" ht="28.05" customHeight="1" x14ac:dyDescent="0.3">
      <c r="A19" s="48"/>
      <c r="B19" s="52" t="s">
        <v>37</v>
      </c>
      <c r="C19" s="32">
        <v>13</v>
      </c>
      <c r="D19" s="34">
        <v>0</v>
      </c>
      <c r="E19" s="34">
        <v>0</v>
      </c>
      <c r="F19" s="53" t="s">
        <v>38</v>
      </c>
      <c r="G19" s="32">
        <v>42</v>
      </c>
      <c r="H19" s="34">
        <v>0</v>
      </c>
      <c r="I19" s="62">
        <v>0</v>
      </c>
      <c r="J19" s="60"/>
    </row>
    <row r="20" spans="1:10" ht="28.05" customHeight="1" x14ac:dyDescent="0.3">
      <c r="A20" s="48"/>
      <c r="B20" s="52" t="s">
        <v>39</v>
      </c>
      <c r="C20" s="32">
        <v>14</v>
      </c>
      <c r="D20" s="34">
        <v>0</v>
      </c>
      <c r="E20" s="34">
        <v>0</v>
      </c>
      <c r="F20" s="53" t="s">
        <v>40</v>
      </c>
      <c r="G20" s="32">
        <v>43</v>
      </c>
      <c r="H20" s="34">
        <v>0</v>
      </c>
      <c r="I20" s="62">
        <v>0</v>
      </c>
      <c r="J20" s="60"/>
    </row>
    <row r="21" spans="1:10" ht="28.05" customHeight="1" x14ac:dyDescent="0.3">
      <c r="A21" s="48"/>
      <c r="B21" s="52" t="s">
        <v>41</v>
      </c>
      <c r="C21" s="32">
        <v>15</v>
      </c>
      <c r="D21" s="40">
        <f>ROUND(D7+D8+D9+D10+D11+D12+D13+D14+D15+D20,2)</f>
        <v>0</v>
      </c>
      <c r="E21" s="40">
        <f>ROUND(E7+E8+E9+E10+E11+E12+E13+E14+E15+E20,2)</f>
        <v>0</v>
      </c>
      <c r="F21" s="53" t="s">
        <v>42</v>
      </c>
      <c r="G21" s="32">
        <v>44</v>
      </c>
      <c r="H21" s="34">
        <v>0</v>
      </c>
      <c r="I21" s="62">
        <v>0</v>
      </c>
      <c r="J21" s="60"/>
    </row>
    <row r="22" spans="1:10" ht="28.05" customHeight="1" x14ac:dyDescent="0.3">
      <c r="A22" s="48"/>
      <c r="B22" s="52" t="s">
        <v>43</v>
      </c>
      <c r="C22" s="32"/>
      <c r="D22" s="50"/>
      <c r="E22" s="50"/>
      <c r="F22" s="53" t="s">
        <v>44</v>
      </c>
      <c r="G22" s="32">
        <v>45</v>
      </c>
      <c r="H22" s="34">
        <v>0</v>
      </c>
      <c r="I22" s="62">
        <v>0</v>
      </c>
      <c r="J22" s="60"/>
    </row>
    <row r="23" spans="1:10" ht="28.05" customHeight="1" x14ac:dyDescent="0.3">
      <c r="A23" s="48"/>
      <c r="B23" s="52" t="s">
        <v>45</v>
      </c>
      <c r="C23" s="32">
        <v>16</v>
      </c>
      <c r="D23" s="34">
        <v>0</v>
      </c>
      <c r="E23" s="34">
        <v>0</v>
      </c>
      <c r="F23" s="53" t="s">
        <v>46</v>
      </c>
      <c r="G23" s="32">
        <v>46</v>
      </c>
      <c r="H23" s="40">
        <f>ROUND(H19+H20+H21+H22,2)</f>
        <v>0</v>
      </c>
      <c r="I23" s="63">
        <f>ROUND(I19+I20+I21+I22,2)</f>
        <v>0</v>
      </c>
      <c r="J23" s="60"/>
    </row>
    <row r="24" spans="1:10" ht="28.05" customHeight="1" x14ac:dyDescent="0.3">
      <c r="A24" s="48"/>
      <c r="B24" s="52" t="s">
        <v>47</v>
      </c>
      <c r="C24" s="32">
        <v>17</v>
      </c>
      <c r="D24" s="34">
        <v>0</v>
      </c>
      <c r="E24" s="34">
        <v>0</v>
      </c>
      <c r="F24" s="53" t="s">
        <v>48</v>
      </c>
      <c r="G24" s="32">
        <v>47</v>
      </c>
      <c r="H24" s="40">
        <f>ROUND(H17+H23,2)</f>
        <v>0</v>
      </c>
      <c r="I24" s="63">
        <f>ROUND(I17+I23,2)</f>
        <v>0</v>
      </c>
      <c r="J24" s="60"/>
    </row>
    <row r="25" spans="1:10" ht="28.05" customHeight="1" x14ac:dyDescent="0.3">
      <c r="A25" s="48"/>
      <c r="B25" s="52" t="s">
        <v>49</v>
      </c>
      <c r="C25" s="32">
        <v>18</v>
      </c>
      <c r="D25" s="34">
        <v>0</v>
      </c>
      <c r="E25" s="34">
        <v>0</v>
      </c>
      <c r="F25" s="53"/>
      <c r="G25" s="32"/>
      <c r="H25" s="50"/>
      <c r="I25" s="61"/>
      <c r="J25" s="60"/>
    </row>
    <row r="26" spans="1:10" ht="28.05" customHeight="1" x14ac:dyDescent="0.3">
      <c r="A26" s="48"/>
      <c r="B26" s="52" t="s">
        <v>50</v>
      </c>
      <c r="C26" s="32">
        <v>19</v>
      </c>
      <c r="D26" s="34">
        <v>0</v>
      </c>
      <c r="E26" s="34">
        <v>0</v>
      </c>
      <c r="F26" s="53"/>
      <c r="G26" s="32"/>
      <c r="H26" s="50"/>
      <c r="I26" s="61"/>
      <c r="J26" s="60"/>
    </row>
    <row r="27" spans="1:10" ht="28.05" customHeight="1" x14ac:dyDescent="0.3">
      <c r="A27" s="48"/>
      <c r="B27" s="52" t="s">
        <v>51</v>
      </c>
      <c r="C27" s="32">
        <v>20</v>
      </c>
      <c r="D27" s="40">
        <f>ROUND(D25-D26,2)</f>
        <v>0</v>
      </c>
      <c r="E27" s="40">
        <f>ROUND(E25-E26,2)</f>
        <v>0</v>
      </c>
      <c r="F27" s="53"/>
      <c r="G27" s="32"/>
      <c r="H27" s="50"/>
      <c r="I27" s="61"/>
      <c r="J27" s="60"/>
    </row>
    <row r="28" spans="1:10" ht="28.05" customHeight="1" x14ac:dyDescent="0.3">
      <c r="A28" s="48"/>
      <c r="B28" s="52" t="s">
        <v>52</v>
      </c>
      <c r="C28" s="32">
        <v>21</v>
      </c>
      <c r="D28" s="34">
        <v>0</v>
      </c>
      <c r="E28" s="34">
        <v>0</v>
      </c>
      <c r="F28" s="53"/>
      <c r="G28" s="32"/>
      <c r="H28" s="50"/>
      <c r="I28" s="61"/>
      <c r="J28" s="60"/>
    </row>
    <row r="29" spans="1:10" ht="28.05" customHeight="1" x14ac:dyDescent="0.3">
      <c r="A29" s="48"/>
      <c r="B29" s="52" t="s">
        <v>53</v>
      </c>
      <c r="C29" s="32">
        <v>22</v>
      </c>
      <c r="D29" s="34">
        <v>0</v>
      </c>
      <c r="E29" s="34">
        <v>0</v>
      </c>
      <c r="F29" s="53"/>
      <c r="G29" s="32"/>
      <c r="H29" s="50"/>
      <c r="I29" s="61"/>
      <c r="J29" s="60"/>
    </row>
    <row r="30" spans="1:10" ht="28.05" customHeight="1" x14ac:dyDescent="0.3">
      <c r="A30" s="48"/>
      <c r="B30" s="52" t="s">
        <v>54</v>
      </c>
      <c r="C30" s="32">
        <v>23</v>
      </c>
      <c r="D30" s="34">
        <v>0</v>
      </c>
      <c r="E30" s="34">
        <v>0</v>
      </c>
      <c r="F30" s="53"/>
      <c r="G30" s="32"/>
      <c r="H30" s="50"/>
      <c r="I30" s="61"/>
      <c r="J30" s="60"/>
    </row>
    <row r="31" spans="1:10" ht="28.05" customHeight="1" x14ac:dyDescent="0.3">
      <c r="A31" s="48"/>
      <c r="B31" s="52" t="s">
        <v>55</v>
      </c>
      <c r="C31" s="32">
        <v>24</v>
      </c>
      <c r="D31" s="34">
        <v>0</v>
      </c>
      <c r="E31" s="34">
        <v>0</v>
      </c>
      <c r="F31" s="54" t="s">
        <v>56</v>
      </c>
      <c r="G31" s="32"/>
      <c r="H31" s="50"/>
      <c r="I31" s="61"/>
      <c r="J31" s="60"/>
    </row>
    <row r="32" spans="1:10" ht="28.05" customHeight="1" x14ac:dyDescent="0.3">
      <c r="A32" s="48"/>
      <c r="B32" s="52" t="s">
        <v>57</v>
      </c>
      <c r="C32" s="32">
        <v>25</v>
      </c>
      <c r="D32" s="34">
        <v>0</v>
      </c>
      <c r="E32" s="34">
        <v>0</v>
      </c>
      <c r="F32" s="53" t="s">
        <v>58</v>
      </c>
      <c r="G32" s="32">
        <v>48</v>
      </c>
      <c r="H32" s="34">
        <v>0</v>
      </c>
      <c r="I32" s="62">
        <v>0</v>
      </c>
      <c r="J32" s="60"/>
    </row>
    <row r="33" spans="1:10" ht="28.05" customHeight="1" x14ac:dyDescent="0.3">
      <c r="A33" s="48"/>
      <c r="B33" s="52" t="s">
        <v>59</v>
      </c>
      <c r="C33" s="32">
        <v>26</v>
      </c>
      <c r="D33" s="34">
        <v>0</v>
      </c>
      <c r="E33" s="34">
        <v>0</v>
      </c>
      <c r="F33" s="53" t="s">
        <v>60</v>
      </c>
      <c r="G33" s="32">
        <v>49</v>
      </c>
      <c r="H33" s="34">
        <v>0</v>
      </c>
      <c r="I33" s="62">
        <v>0</v>
      </c>
      <c r="J33" s="60"/>
    </row>
    <row r="34" spans="1:10" ht="28.05" customHeight="1" x14ac:dyDescent="0.3">
      <c r="A34" s="48"/>
      <c r="B34" s="52" t="s">
        <v>61</v>
      </c>
      <c r="C34" s="32">
        <v>27</v>
      </c>
      <c r="D34" s="34">
        <v>0</v>
      </c>
      <c r="E34" s="34">
        <v>0</v>
      </c>
      <c r="F34" s="53" t="s">
        <v>62</v>
      </c>
      <c r="G34" s="32">
        <v>50</v>
      </c>
      <c r="H34" s="34">
        <v>0</v>
      </c>
      <c r="I34" s="62">
        <v>0</v>
      </c>
      <c r="J34" s="60"/>
    </row>
    <row r="35" spans="1:10" ht="28.05" customHeight="1" x14ac:dyDescent="0.3">
      <c r="A35" s="48"/>
      <c r="B35" s="52" t="s">
        <v>63</v>
      </c>
      <c r="C35" s="32">
        <v>28</v>
      </c>
      <c r="D35" s="34">
        <v>0</v>
      </c>
      <c r="E35" s="34">
        <v>0</v>
      </c>
      <c r="F35" s="53" t="s">
        <v>64</v>
      </c>
      <c r="G35" s="32">
        <v>51</v>
      </c>
      <c r="H35" s="34">
        <v>0</v>
      </c>
      <c r="I35" s="62">
        <v>0</v>
      </c>
      <c r="J35" s="60"/>
    </row>
    <row r="36" spans="1:10" ht="28.05" customHeight="1" x14ac:dyDescent="0.3">
      <c r="A36" s="48"/>
      <c r="B36" s="52" t="s">
        <v>65</v>
      </c>
      <c r="C36" s="32">
        <v>29</v>
      </c>
      <c r="D36" s="40">
        <f>ROUND(D23+D24+D27+D28+D29+D30+D31+D32+D33+D34+D35,2)</f>
        <v>0</v>
      </c>
      <c r="E36" s="40">
        <f>ROUND(E23+E24+E27+E28+E29+E30+E31+E32+E33+E34+E35,2)</f>
        <v>0</v>
      </c>
      <c r="F36" s="55" t="s">
        <v>66</v>
      </c>
      <c r="G36" s="32">
        <v>52</v>
      </c>
      <c r="H36" s="40">
        <f>ROUND(H32+H33+H34+H35,2)</f>
        <v>0</v>
      </c>
      <c r="I36" s="63">
        <f>ROUND(I32+I33+I34+I35,2)</f>
        <v>0</v>
      </c>
      <c r="J36" s="60"/>
    </row>
    <row r="37" spans="1:10" ht="28.05" customHeight="1" x14ac:dyDescent="0.3">
      <c r="A37" s="48"/>
      <c r="B37" s="56" t="s">
        <v>67</v>
      </c>
      <c r="C37" s="42">
        <v>30</v>
      </c>
      <c r="D37" s="44">
        <f>ROUND(D21+D36,2)</f>
        <v>0</v>
      </c>
      <c r="E37" s="44">
        <f>ROUND(E21+E36,2)</f>
        <v>0</v>
      </c>
      <c r="F37" s="57" t="s">
        <v>68</v>
      </c>
      <c r="G37" s="42">
        <v>53</v>
      </c>
      <c r="H37" s="44">
        <f>ROUND(H24+H36,2)</f>
        <v>0</v>
      </c>
      <c r="I37" s="64">
        <f>ROUND(I24+I36,2)</f>
        <v>0</v>
      </c>
      <c r="J37" s="60"/>
    </row>
  </sheetData>
  <sheetProtection password="EF5C" sheet="1" objects="1" selectLockedCells="1"/>
  <mergeCells count="9">
    <mergeCell ref="B1:I1"/>
    <mergeCell ref="B3:C3"/>
    <mergeCell ref="D3:E3"/>
    <mergeCell ref="F3:G3"/>
    <mergeCell ref="H3:I3"/>
    <mergeCell ref="B4:C4"/>
    <mergeCell ref="D4:E4"/>
    <mergeCell ref="F4:G4"/>
    <mergeCell ref="H4:I4"/>
  </mergeCells>
  <phoneticPr fontId="22" type="noConversion"/>
  <dataValidations count="5">
    <dataValidation type="date" allowBlank="1" showInputMessage="1" showErrorMessage="1" error="请输入正确的日期格式数据！格式为：xxxx-xx-xx" sqref="D4:E4" xr:uid="{75CEEE7E-A31B-4CFF-8BF2-999F9C3E7991}">
      <formula1>1</formula1>
      <formula2>2958435</formula2>
    </dataValidation>
    <dataValidation type="date" allowBlank="1" showInputMessage="1" showErrorMessage="1" error="请输入正确的日期格式数据！格式为：xxxx-xx-xx" sqref="H4:I4" xr:uid="{BB9521E2-167A-47DC-891C-D5F59B85AB2B}">
      <formula1>31</formula1>
      <formula2>2958465</formula2>
    </dataValidation>
    <dataValidation type="decimal" allowBlank="1" showInputMessage="1" showErrorMessage="1" sqref="H17:I17 D21:E21 D26:E27 D36:E37 H36:I37 H23:I24" xr:uid="{BF0CDDB2-63DB-4898-95CE-0E0654379D97}">
      <formula1>-9999999999999</formula1>
      <formula2>9999999999999</formula2>
    </dataValidation>
    <dataValidation type="decimal" allowBlank="1" showInputMessage="1" showErrorMessage="1" errorTitle="无效的数据输入" error="只能输入数字！" sqref="H18:I18 D22:E22 H25:I31" xr:uid="{DA419879-DEF1-4B23-AD2A-9927E11C99DC}">
      <formula1>-9999999999999</formula1>
      <formula2>9999999999999</formula2>
    </dataValidation>
    <dataValidation type="decimal" showInputMessage="1" showErrorMessage="1" error="不能为空，默认赋值0.00" sqref="H32:I35 D7:E20 D28:E35 H7:I16 H19:I22 D23:E25" xr:uid="{197A2532-5529-481D-B319-E2DFFC60E63F}">
      <formula1>-9999999999999</formula1>
      <formula2>9999999999999</formula2>
    </dataValidation>
  </dataValidations>
  <pageMargins left="0.9" right="0.9" top="0.98" bottom="0.98" header="0.51" footer="0.51"/>
  <pageSetup paperSize="9" orientation="portrait" errors="blank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B877-43D8-49D8-8558-E370272CD570}">
  <sheetPr>
    <pageSetUpPr autoPageBreaks="0"/>
  </sheetPr>
  <dimension ref="A1:F37"/>
  <sheetViews>
    <sheetView showGridLines="0" workbookViewId="0">
      <selection activeCell="D8" sqref="D8"/>
    </sheetView>
  </sheetViews>
  <sheetFormatPr defaultColWidth="8.73046875" defaultRowHeight="14.25" customHeight="1" x14ac:dyDescent="0.3"/>
  <cols>
    <col min="1" max="1" width="5" customWidth="1"/>
    <col min="2" max="2" width="28.59765625" customWidth="1"/>
    <col min="3" max="3" width="5.59765625" customWidth="1"/>
    <col min="4" max="4" width="30.59765625" customWidth="1"/>
    <col min="5" max="5" width="28.59765625" customWidth="1"/>
    <col min="6" max="6" width="30.59765625" customWidth="1"/>
  </cols>
  <sheetData>
    <row r="1" spans="1:6" s="24" customFormat="1" ht="36.75" customHeight="1" x14ac:dyDescent="0.3">
      <c r="A1" s="25"/>
      <c r="B1" s="65" t="s">
        <v>69</v>
      </c>
      <c r="C1" s="76"/>
      <c r="D1" s="76"/>
      <c r="E1" s="76"/>
      <c r="F1" s="76"/>
    </row>
    <row r="2" spans="1:6" ht="22.5" customHeight="1" x14ac:dyDescent="0.4">
      <c r="A2" s="1"/>
      <c r="B2" s="26"/>
      <c r="C2" s="27"/>
      <c r="D2" s="27"/>
      <c r="E2" s="27"/>
      <c r="F2" s="4" t="s">
        <v>70</v>
      </c>
    </row>
    <row r="3" spans="1:6" ht="28.05" customHeight="1" x14ac:dyDescent="0.3">
      <c r="A3" s="1"/>
      <c r="B3" s="66" t="s">
        <v>2</v>
      </c>
      <c r="C3" s="67"/>
      <c r="D3" s="5" t="str">
        <f>IF(资产负债表!D3="","",资产负债表!D3)</f>
        <v/>
      </c>
      <c r="E3" s="6" t="s">
        <v>3</v>
      </c>
      <c r="F3" s="7" t="str">
        <f>IF(资产负债表!H3="","",资产负债表!H3)</f>
        <v/>
      </c>
    </row>
    <row r="4" spans="1:6" ht="28.05" customHeight="1" x14ac:dyDescent="0.3">
      <c r="A4" s="1"/>
      <c r="B4" s="71" t="s">
        <v>4</v>
      </c>
      <c r="C4" s="72"/>
      <c r="D4" s="8" t="str">
        <f>IF(资产负债表!D4="","",资产负债表!D4)</f>
        <v/>
      </c>
      <c r="E4" s="9" t="s">
        <v>5</v>
      </c>
      <c r="F4" s="10" t="str">
        <f>IF(资产负债表!H4="","",资产负债表!H4)</f>
        <v/>
      </c>
    </row>
    <row r="5" spans="1:6" ht="28.05" customHeight="1" x14ac:dyDescent="0.3">
      <c r="A5" s="1"/>
      <c r="B5" s="28" t="s">
        <v>71</v>
      </c>
      <c r="C5" s="29" t="s">
        <v>7</v>
      </c>
      <c r="D5" s="29" t="s">
        <v>72</v>
      </c>
      <c r="E5" s="77" t="s">
        <v>73</v>
      </c>
      <c r="F5" s="78"/>
    </row>
    <row r="6" spans="1:6" ht="28.05" customHeight="1" x14ac:dyDescent="0.3">
      <c r="A6" s="1"/>
      <c r="B6" s="31" t="s">
        <v>74</v>
      </c>
      <c r="C6" s="32">
        <v>1</v>
      </c>
      <c r="D6" s="33">
        <v>0</v>
      </c>
      <c r="E6" s="79">
        <v>0</v>
      </c>
      <c r="F6" s="80"/>
    </row>
    <row r="7" spans="1:6" ht="28.05" customHeight="1" x14ac:dyDescent="0.3">
      <c r="A7" s="1"/>
      <c r="B7" s="31" t="s">
        <v>75</v>
      </c>
      <c r="C7" s="32">
        <v>2</v>
      </c>
      <c r="D7" s="35">
        <v>0</v>
      </c>
      <c r="E7" s="79">
        <v>0</v>
      </c>
      <c r="F7" s="80"/>
    </row>
    <row r="8" spans="1:6" ht="28.05" customHeight="1" x14ac:dyDescent="0.3">
      <c r="A8" s="1"/>
      <c r="B8" s="36" t="s">
        <v>76</v>
      </c>
      <c r="C8" s="32">
        <v>3</v>
      </c>
      <c r="D8" s="33">
        <v>0</v>
      </c>
      <c r="E8" s="79">
        <v>0</v>
      </c>
      <c r="F8" s="80"/>
    </row>
    <row r="9" spans="1:6" ht="28.05" customHeight="1" x14ac:dyDescent="0.3">
      <c r="A9" s="1"/>
      <c r="B9" s="36" t="s">
        <v>77</v>
      </c>
      <c r="C9" s="32">
        <v>4</v>
      </c>
      <c r="D9" s="35">
        <v>0</v>
      </c>
      <c r="E9" s="79">
        <v>0</v>
      </c>
      <c r="F9" s="80"/>
    </row>
    <row r="10" spans="1:6" ht="28.05" customHeight="1" x14ac:dyDescent="0.3">
      <c r="A10" s="1"/>
      <c r="B10" s="36" t="s">
        <v>78</v>
      </c>
      <c r="C10" s="32">
        <v>5</v>
      </c>
      <c r="D10" s="33">
        <v>0</v>
      </c>
      <c r="E10" s="79">
        <v>0</v>
      </c>
      <c r="F10" s="80"/>
    </row>
    <row r="11" spans="1:6" ht="28.05" customHeight="1" x14ac:dyDescent="0.3">
      <c r="A11" s="1"/>
      <c r="B11" s="36" t="s">
        <v>79</v>
      </c>
      <c r="C11" s="32">
        <v>6</v>
      </c>
      <c r="D11" s="35">
        <v>0</v>
      </c>
      <c r="E11" s="79">
        <v>0</v>
      </c>
      <c r="F11" s="80"/>
    </row>
    <row r="12" spans="1:6" ht="28.05" customHeight="1" x14ac:dyDescent="0.3">
      <c r="A12" s="1"/>
      <c r="B12" s="36" t="s">
        <v>80</v>
      </c>
      <c r="C12" s="32">
        <v>7</v>
      </c>
      <c r="D12" s="33">
        <v>0</v>
      </c>
      <c r="E12" s="79">
        <v>0</v>
      </c>
      <c r="F12" s="80"/>
    </row>
    <row r="13" spans="1:6" ht="28.05" customHeight="1" x14ac:dyDescent="0.3">
      <c r="A13" s="1"/>
      <c r="B13" s="36" t="s">
        <v>81</v>
      </c>
      <c r="C13" s="32">
        <v>8</v>
      </c>
      <c r="D13" s="35">
        <v>0</v>
      </c>
      <c r="E13" s="79">
        <v>0</v>
      </c>
      <c r="F13" s="80"/>
    </row>
    <row r="14" spans="1:6" ht="28.05" customHeight="1" x14ac:dyDescent="0.3">
      <c r="A14" s="1"/>
      <c r="B14" s="37" t="s">
        <v>82</v>
      </c>
      <c r="C14" s="32">
        <v>9</v>
      </c>
      <c r="D14" s="33">
        <v>0</v>
      </c>
      <c r="E14" s="79">
        <v>0</v>
      </c>
      <c r="F14" s="80"/>
    </row>
    <row r="15" spans="1:6" ht="28.05" customHeight="1" x14ac:dyDescent="0.3">
      <c r="A15" s="1"/>
      <c r="B15" s="37" t="s">
        <v>83</v>
      </c>
      <c r="C15" s="32">
        <v>10</v>
      </c>
      <c r="D15" s="35">
        <v>0</v>
      </c>
      <c r="E15" s="79">
        <v>0</v>
      </c>
      <c r="F15" s="80"/>
    </row>
    <row r="16" spans="1:6" ht="28.05" customHeight="1" x14ac:dyDescent="0.3">
      <c r="A16" s="1"/>
      <c r="B16" s="36" t="s">
        <v>84</v>
      </c>
      <c r="C16" s="32">
        <v>11</v>
      </c>
      <c r="D16" s="33">
        <v>0</v>
      </c>
      <c r="E16" s="79">
        <v>0</v>
      </c>
      <c r="F16" s="80"/>
    </row>
    <row r="17" spans="1:6" ht="28.05" customHeight="1" x14ac:dyDescent="0.3">
      <c r="A17" s="1"/>
      <c r="B17" s="36" t="s">
        <v>85</v>
      </c>
      <c r="C17" s="32">
        <v>12</v>
      </c>
      <c r="D17" s="35">
        <v>0</v>
      </c>
      <c r="E17" s="79">
        <v>0</v>
      </c>
      <c r="F17" s="80"/>
    </row>
    <row r="18" spans="1:6" ht="28.05" customHeight="1" x14ac:dyDescent="0.3">
      <c r="A18" s="1"/>
      <c r="B18" s="36" t="s">
        <v>86</v>
      </c>
      <c r="C18" s="32">
        <v>13</v>
      </c>
      <c r="D18" s="33">
        <v>0</v>
      </c>
      <c r="E18" s="79">
        <v>0</v>
      </c>
      <c r="F18" s="80"/>
    </row>
    <row r="19" spans="1:6" ht="28.05" customHeight="1" x14ac:dyDescent="0.3">
      <c r="A19" s="1"/>
      <c r="B19" s="36" t="s">
        <v>87</v>
      </c>
      <c r="C19" s="32">
        <v>14</v>
      </c>
      <c r="D19" s="35">
        <v>0</v>
      </c>
      <c r="E19" s="79">
        <v>0</v>
      </c>
      <c r="F19" s="80"/>
    </row>
    <row r="20" spans="1:6" ht="28.05" customHeight="1" x14ac:dyDescent="0.3">
      <c r="A20" s="1"/>
      <c r="B20" s="36" t="s">
        <v>88</v>
      </c>
      <c r="C20" s="32">
        <v>15</v>
      </c>
      <c r="D20" s="33">
        <v>0</v>
      </c>
      <c r="E20" s="79">
        <v>0</v>
      </c>
      <c r="F20" s="80"/>
    </row>
    <row r="21" spans="1:6" ht="28.05" customHeight="1" x14ac:dyDescent="0.3">
      <c r="A21" s="1"/>
      <c r="B21" s="36" t="s">
        <v>89</v>
      </c>
      <c r="C21" s="32">
        <v>16</v>
      </c>
      <c r="D21" s="35">
        <v>0</v>
      </c>
      <c r="E21" s="79">
        <v>0</v>
      </c>
      <c r="F21" s="80"/>
    </row>
    <row r="22" spans="1:6" ht="28.05" customHeight="1" x14ac:dyDescent="0.3">
      <c r="A22" s="1"/>
      <c r="B22" s="36" t="s">
        <v>90</v>
      </c>
      <c r="C22" s="32">
        <v>17</v>
      </c>
      <c r="D22" s="33">
        <v>0</v>
      </c>
      <c r="E22" s="79">
        <v>0</v>
      </c>
      <c r="F22" s="80"/>
    </row>
    <row r="23" spans="1:6" ht="28.05" customHeight="1" x14ac:dyDescent="0.3">
      <c r="A23" s="1"/>
      <c r="B23" s="36" t="s">
        <v>91</v>
      </c>
      <c r="C23" s="32">
        <v>18</v>
      </c>
      <c r="D23" s="35">
        <v>0</v>
      </c>
      <c r="E23" s="79">
        <v>0</v>
      </c>
      <c r="F23" s="80"/>
    </row>
    <row r="24" spans="1:6" ht="28.05" customHeight="1" x14ac:dyDescent="0.3">
      <c r="A24" s="1"/>
      <c r="B24" s="37" t="s">
        <v>92</v>
      </c>
      <c r="C24" s="32">
        <v>19</v>
      </c>
      <c r="D24" s="33">
        <v>0</v>
      </c>
      <c r="E24" s="79">
        <v>0</v>
      </c>
      <c r="F24" s="80"/>
    </row>
    <row r="25" spans="1:6" ht="28.05" customHeight="1" x14ac:dyDescent="0.3">
      <c r="A25" s="1"/>
      <c r="B25" s="37" t="s">
        <v>93</v>
      </c>
      <c r="C25" s="32">
        <v>20</v>
      </c>
      <c r="D25" s="35">
        <v>0</v>
      </c>
      <c r="E25" s="79">
        <v>0</v>
      </c>
      <c r="F25" s="80"/>
    </row>
    <row r="26" spans="1:6" ht="28.05" customHeight="1" x14ac:dyDescent="0.3">
      <c r="A26" s="1"/>
      <c r="B26" s="38" t="s">
        <v>94</v>
      </c>
      <c r="C26" s="32">
        <v>21</v>
      </c>
      <c r="D26" s="39">
        <f>ROUND(D6-D7-D8-D16-D19-D23+D25,2)</f>
        <v>0</v>
      </c>
      <c r="E26" s="81">
        <f>ROUND(E6-E7-E8-E16-E19-E23+E25,2)</f>
        <v>0</v>
      </c>
      <c r="F26" s="82"/>
    </row>
    <row r="27" spans="1:6" ht="28.05" customHeight="1" x14ac:dyDescent="0.3">
      <c r="A27" s="1"/>
      <c r="B27" s="36" t="s">
        <v>95</v>
      </c>
      <c r="C27" s="32">
        <v>22</v>
      </c>
      <c r="D27" s="33">
        <v>0</v>
      </c>
      <c r="E27" s="79">
        <v>0</v>
      </c>
      <c r="F27" s="80"/>
    </row>
    <row r="28" spans="1:6" ht="28.05" customHeight="1" x14ac:dyDescent="0.3">
      <c r="A28" s="1"/>
      <c r="B28" s="36" t="s">
        <v>96</v>
      </c>
      <c r="C28" s="32">
        <v>23</v>
      </c>
      <c r="D28" s="35">
        <v>0</v>
      </c>
      <c r="E28" s="79">
        <v>0</v>
      </c>
      <c r="F28" s="80"/>
    </row>
    <row r="29" spans="1:6" ht="28.05" customHeight="1" x14ac:dyDescent="0.3">
      <c r="A29" s="1"/>
      <c r="B29" s="36" t="s">
        <v>97</v>
      </c>
      <c r="C29" s="32">
        <v>24</v>
      </c>
      <c r="D29" s="33">
        <v>0</v>
      </c>
      <c r="E29" s="79">
        <v>0</v>
      </c>
      <c r="F29" s="80"/>
    </row>
    <row r="30" spans="1:6" ht="28.05" customHeight="1" x14ac:dyDescent="0.3">
      <c r="A30" s="1"/>
      <c r="B30" s="36" t="s">
        <v>98</v>
      </c>
      <c r="C30" s="32">
        <v>25</v>
      </c>
      <c r="D30" s="35">
        <v>0</v>
      </c>
      <c r="E30" s="79">
        <v>0</v>
      </c>
      <c r="F30" s="80"/>
    </row>
    <row r="31" spans="1:6" ht="28.05" customHeight="1" x14ac:dyDescent="0.3">
      <c r="A31" s="1"/>
      <c r="B31" s="37" t="s">
        <v>99</v>
      </c>
      <c r="C31" s="32">
        <v>26</v>
      </c>
      <c r="D31" s="33">
        <v>0</v>
      </c>
      <c r="E31" s="79">
        <v>0</v>
      </c>
      <c r="F31" s="80"/>
    </row>
    <row r="32" spans="1:6" ht="28.05" customHeight="1" x14ac:dyDescent="0.3">
      <c r="A32" s="1"/>
      <c r="B32" s="37" t="s">
        <v>100</v>
      </c>
      <c r="C32" s="32">
        <v>27</v>
      </c>
      <c r="D32" s="35">
        <v>0</v>
      </c>
      <c r="E32" s="79">
        <v>0</v>
      </c>
      <c r="F32" s="80"/>
    </row>
    <row r="33" spans="1:6" ht="28.05" customHeight="1" x14ac:dyDescent="0.3">
      <c r="A33" s="1"/>
      <c r="B33" s="37" t="s">
        <v>101</v>
      </c>
      <c r="C33" s="32">
        <v>28</v>
      </c>
      <c r="D33" s="33">
        <v>0</v>
      </c>
      <c r="E33" s="79">
        <v>0</v>
      </c>
      <c r="F33" s="80"/>
    </row>
    <row r="34" spans="1:6" ht="28.05" customHeight="1" x14ac:dyDescent="0.3">
      <c r="A34" s="1"/>
      <c r="B34" s="36" t="s">
        <v>102</v>
      </c>
      <c r="C34" s="32">
        <v>29</v>
      </c>
      <c r="D34" s="35">
        <v>0</v>
      </c>
      <c r="E34" s="79">
        <v>0</v>
      </c>
      <c r="F34" s="80"/>
    </row>
    <row r="35" spans="1:6" ht="28.05" customHeight="1" x14ac:dyDescent="0.3">
      <c r="A35" s="1"/>
      <c r="B35" s="38" t="s">
        <v>103</v>
      </c>
      <c r="C35" s="32">
        <v>30</v>
      </c>
      <c r="D35" s="39">
        <f>ROUND(D26+D27-D29,2)</f>
        <v>0</v>
      </c>
      <c r="E35" s="81">
        <f>ROUND(E26+E27-E29,2)</f>
        <v>0</v>
      </c>
      <c r="F35" s="82"/>
    </row>
    <row r="36" spans="1:6" ht="28.05" customHeight="1" x14ac:dyDescent="0.3">
      <c r="A36" s="1"/>
      <c r="B36" s="36" t="s">
        <v>104</v>
      </c>
      <c r="C36" s="32">
        <v>31</v>
      </c>
      <c r="D36" s="33">
        <v>0</v>
      </c>
      <c r="E36" s="79">
        <v>0</v>
      </c>
      <c r="F36" s="80"/>
    </row>
    <row r="37" spans="1:6" ht="28.05" customHeight="1" x14ac:dyDescent="0.3">
      <c r="A37" s="1"/>
      <c r="B37" s="41" t="s">
        <v>105</v>
      </c>
      <c r="C37" s="42">
        <v>32</v>
      </c>
      <c r="D37" s="43">
        <f>ROUND(D35-D36,2)</f>
        <v>0</v>
      </c>
      <c r="E37" s="83">
        <f>ROUND(E35-E36,2)</f>
        <v>0</v>
      </c>
      <c r="F37" s="84"/>
    </row>
  </sheetData>
  <sheetProtection password="EF5C" sheet="1" objects="1" selectLockedCells="1"/>
  <mergeCells count="36">
    <mergeCell ref="E32:F32"/>
    <mergeCell ref="E33:F33"/>
    <mergeCell ref="E34:F34"/>
    <mergeCell ref="E35:F35"/>
    <mergeCell ref="E36:F36"/>
    <mergeCell ref="E37:F37"/>
    <mergeCell ref="E26:F26"/>
    <mergeCell ref="E27:F27"/>
    <mergeCell ref="E28:F28"/>
    <mergeCell ref="E29:F29"/>
    <mergeCell ref="E30:F30"/>
    <mergeCell ref="E31:F31"/>
    <mergeCell ref="E20:F20"/>
    <mergeCell ref="E21:F21"/>
    <mergeCell ref="E22:F22"/>
    <mergeCell ref="E23:F23"/>
    <mergeCell ref="E24:F24"/>
    <mergeCell ref="E25:F25"/>
    <mergeCell ref="E14:F14"/>
    <mergeCell ref="E15:F15"/>
    <mergeCell ref="E16:F16"/>
    <mergeCell ref="E17:F17"/>
    <mergeCell ref="E18:F18"/>
    <mergeCell ref="E19:F19"/>
    <mergeCell ref="E8:F8"/>
    <mergeCell ref="E9:F9"/>
    <mergeCell ref="E10:F10"/>
    <mergeCell ref="E11:F11"/>
    <mergeCell ref="E12:F12"/>
    <mergeCell ref="E13:F13"/>
    <mergeCell ref="B1:F1"/>
    <mergeCell ref="B3:C3"/>
    <mergeCell ref="B4:C4"/>
    <mergeCell ref="E5:F5"/>
    <mergeCell ref="E6:F6"/>
    <mergeCell ref="E7:F7"/>
  </mergeCells>
  <phoneticPr fontId="22" type="noConversion"/>
  <dataValidations count="2">
    <dataValidation type="decimal" allowBlank="1" showInputMessage="1" showErrorMessage="1" sqref="D26:E26 D35:E35 D37:E37" xr:uid="{712F796B-1BDB-483F-91CE-7F5A51E1A09B}">
      <formula1>-9999999999999</formula1>
      <formula2>9999999999999</formula2>
    </dataValidation>
    <dataValidation type="decimal" showInputMessage="1" showErrorMessage="1" error="不能为空，默认赋值0.00" sqref="D36:E36 D27:E34 D6:E25" xr:uid="{A81C8983-BBFD-4AAF-9DFC-D0B85DA8F17F}">
      <formula1>-9999999999999</formula1>
      <formula2>9999999999999</formula2>
    </dataValidation>
  </dataValidations>
  <pageMargins left="0.9" right="0.9" top="0.98" bottom="0.98" header="0.51" footer="0.51"/>
  <pageSetup paperSize="9" orientation="portrait" errors="blank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6B34-833D-4CEF-92FE-41D48A36FFD4}">
  <sheetPr>
    <pageSetUpPr autoPageBreaks="0"/>
  </sheetPr>
  <dimension ref="A1:G30"/>
  <sheetViews>
    <sheetView showGridLines="0" workbookViewId="0">
      <selection activeCell="D9" sqref="D9"/>
    </sheetView>
  </sheetViews>
  <sheetFormatPr defaultColWidth="8.73046875" defaultRowHeight="14.25" customHeight="1" x14ac:dyDescent="0.3"/>
  <cols>
    <col min="1" max="1" width="5" customWidth="1"/>
    <col min="2" max="2" width="28.59765625" customWidth="1"/>
    <col min="3" max="3" width="5.59765625" customWidth="1"/>
    <col min="4" max="4" width="30.59765625" customWidth="1"/>
    <col min="5" max="5" width="28.59765625" customWidth="1"/>
    <col min="6" max="6" width="30.59765625" customWidth="1"/>
    <col min="7" max="7" width="5" customWidth="1"/>
  </cols>
  <sheetData>
    <row r="1" spans="1:7" ht="36.75" customHeight="1" x14ac:dyDescent="0.3">
      <c r="A1" s="1"/>
      <c r="B1" s="65" t="s">
        <v>106</v>
      </c>
      <c r="C1" s="65"/>
      <c r="D1" s="65"/>
      <c r="E1" s="65"/>
      <c r="F1" s="65"/>
      <c r="G1" s="3"/>
    </row>
    <row r="2" spans="1:7" ht="22.5" customHeight="1" x14ac:dyDescent="0.3">
      <c r="A2" s="1"/>
      <c r="B2" s="2"/>
      <c r="C2" s="2"/>
      <c r="D2" s="2"/>
      <c r="E2" s="2"/>
      <c r="F2" s="4" t="s">
        <v>107</v>
      </c>
      <c r="G2" s="3"/>
    </row>
    <row r="3" spans="1:7" ht="28.05" customHeight="1" x14ac:dyDescent="0.3">
      <c r="A3" s="1"/>
      <c r="B3" s="66" t="s">
        <v>2</v>
      </c>
      <c r="C3" s="67"/>
      <c r="D3" s="5" t="str">
        <f>IF(资产负债表!D3="","",资产负债表!D3)</f>
        <v/>
      </c>
      <c r="E3" s="6" t="s">
        <v>3</v>
      </c>
      <c r="F3" s="7" t="str">
        <f>IF(资产负债表!H3="","",资产负债表!H3)</f>
        <v/>
      </c>
      <c r="G3" s="3"/>
    </row>
    <row r="4" spans="1:7" ht="28.05" customHeight="1" x14ac:dyDescent="0.3">
      <c r="A4" s="1"/>
      <c r="B4" s="71" t="s">
        <v>4</v>
      </c>
      <c r="C4" s="72"/>
      <c r="D4" s="8" t="str">
        <f>IF(资产负债表!D4="","",资产负债表!D4)</f>
        <v/>
      </c>
      <c r="E4" s="9" t="s">
        <v>5</v>
      </c>
      <c r="F4" s="10" t="str">
        <f>IF(资产负债表!H4="","",资产负债表!H4)</f>
        <v/>
      </c>
      <c r="G4" s="3"/>
    </row>
    <row r="5" spans="1:7" ht="28.05" customHeight="1" x14ac:dyDescent="0.3">
      <c r="A5" s="1"/>
      <c r="B5" s="11" t="s">
        <v>71</v>
      </c>
      <c r="C5" s="12" t="s">
        <v>7</v>
      </c>
      <c r="D5" s="12" t="s">
        <v>72</v>
      </c>
      <c r="E5" s="85" t="s">
        <v>73</v>
      </c>
      <c r="F5" s="86"/>
      <c r="G5" s="3"/>
    </row>
    <row r="6" spans="1:7" ht="28.05" customHeight="1" x14ac:dyDescent="0.3">
      <c r="A6" s="1"/>
      <c r="B6" s="13" t="s">
        <v>108</v>
      </c>
      <c r="C6" s="14"/>
      <c r="D6" s="15"/>
      <c r="E6" s="87"/>
      <c r="F6" s="88"/>
      <c r="G6" s="3"/>
    </row>
    <row r="7" spans="1:7" ht="28.05" customHeight="1" x14ac:dyDescent="0.3">
      <c r="A7" s="1"/>
      <c r="B7" s="16" t="s">
        <v>109</v>
      </c>
      <c r="C7" s="14">
        <v>1</v>
      </c>
      <c r="D7" s="17">
        <v>0</v>
      </c>
      <c r="E7" s="89">
        <v>0</v>
      </c>
      <c r="F7" s="90"/>
      <c r="G7" s="3"/>
    </row>
    <row r="8" spans="1:7" ht="28.05" customHeight="1" x14ac:dyDescent="0.3">
      <c r="A8" s="1"/>
      <c r="B8" s="18" t="s">
        <v>110</v>
      </c>
      <c r="C8" s="14">
        <v>2</v>
      </c>
      <c r="D8" s="17">
        <v>0</v>
      </c>
      <c r="E8" s="89">
        <v>0</v>
      </c>
      <c r="F8" s="90"/>
      <c r="G8" s="3"/>
    </row>
    <row r="9" spans="1:7" ht="28.05" customHeight="1" x14ac:dyDescent="0.3">
      <c r="A9" s="1"/>
      <c r="B9" s="16" t="s">
        <v>111</v>
      </c>
      <c r="C9" s="14">
        <v>3</v>
      </c>
      <c r="D9" s="17">
        <v>0</v>
      </c>
      <c r="E9" s="89">
        <v>0</v>
      </c>
      <c r="F9" s="90"/>
      <c r="G9" s="3"/>
    </row>
    <row r="10" spans="1:7" ht="28.05" customHeight="1" x14ac:dyDescent="0.3">
      <c r="A10" s="1"/>
      <c r="B10" s="18" t="s">
        <v>112</v>
      </c>
      <c r="C10" s="14">
        <v>4</v>
      </c>
      <c r="D10" s="17">
        <v>0</v>
      </c>
      <c r="E10" s="89">
        <v>0</v>
      </c>
      <c r="F10" s="90"/>
      <c r="G10" s="3"/>
    </row>
    <row r="11" spans="1:7" ht="28.05" customHeight="1" x14ac:dyDescent="0.3">
      <c r="A11" s="1"/>
      <c r="B11" s="18" t="s">
        <v>113</v>
      </c>
      <c r="C11" s="14">
        <v>5</v>
      </c>
      <c r="D11" s="17">
        <v>0</v>
      </c>
      <c r="E11" s="89">
        <v>0</v>
      </c>
      <c r="F11" s="90"/>
      <c r="G11" s="3"/>
    </row>
    <row r="12" spans="1:7" ht="28.05" customHeight="1" x14ac:dyDescent="0.3">
      <c r="A12" s="1"/>
      <c r="B12" s="18" t="s">
        <v>114</v>
      </c>
      <c r="C12" s="14">
        <v>6</v>
      </c>
      <c r="D12" s="17">
        <v>0</v>
      </c>
      <c r="E12" s="89">
        <v>0</v>
      </c>
      <c r="F12" s="90"/>
      <c r="G12" s="3"/>
    </row>
    <row r="13" spans="1:7" ht="28.05" customHeight="1" x14ac:dyDescent="0.3">
      <c r="A13" s="1"/>
      <c r="B13" s="18" t="s">
        <v>115</v>
      </c>
      <c r="C13" s="14">
        <v>7</v>
      </c>
      <c r="D13" s="19">
        <f>ROUND(D7+D8-D9-D10-D11-D12,2)</f>
        <v>0</v>
      </c>
      <c r="E13" s="91">
        <f>ROUND(E7+E8-E9-E10-E11-E12,2)</f>
        <v>0</v>
      </c>
      <c r="F13" s="92"/>
      <c r="G13" s="3"/>
    </row>
    <row r="14" spans="1:7" ht="28.05" customHeight="1" x14ac:dyDescent="0.3">
      <c r="A14" s="1"/>
      <c r="B14" s="13" t="s">
        <v>116</v>
      </c>
      <c r="C14" s="14"/>
      <c r="D14" s="20"/>
      <c r="E14" s="93"/>
      <c r="F14" s="94"/>
      <c r="G14" s="3"/>
    </row>
    <row r="15" spans="1:7" ht="28.05" customHeight="1" x14ac:dyDescent="0.3">
      <c r="A15" s="1"/>
      <c r="B15" s="16" t="s">
        <v>117</v>
      </c>
      <c r="C15" s="14">
        <v>8</v>
      </c>
      <c r="D15" s="17">
        <v>0</v>
      </c>
      <c r="E15" s="89">
        <v>0</v>
      </c>
      <c r="F15" s="90"/>
      <c r="G15" s="3"/>
    </row>
    <row r="16" spans="1:7" ht="28.05" customHeight="1" x14ac:dyDescent="0.3">
      <c r="A16" s="1"/>
      <c r="B16" s="18" t="s">
        <v>118</v>
      </c>
      <c r="C16" s="14">
        <v>9</v>
      </c>
      <c r="D16" s="17">
        <v>0</v>
      </c>
      <c r="E16" s="89">
        <v>0</v>
      </c>
      <c r="F16" s="90"/>
      <c r="G16" s="3"/>
    </row>
    <row r="17" spans="1:7" ht="28.05" customHeight="1" x14ac:dyDescent="0.3">
      <c r="A17" s="1"/>
      <c r="B17" s="16" t="s">
        <v>119</v>
      </c>
      <c r="C17" s="14">
        <v>10</v>
      </c>
      <c r="D17" s="17">
        <v>0</v>
      </c>
      <c r="E17" s="89">
        <v>0</v>
      </c>
      <c r="F17" s="90"/>
      <c r="G17" s="3"/>
    </row>
    <row r="18" spans="1:7" ht="28.05" customHeight="1" x14ac:dyDescent="0.3">
      <c r="A18" s="1"/>
      <c r="B18" s="16" t="s">
        <v>120</v>
      </c>
      <c r="C18" s="14">
        <v>11</v>
      </c>
      <c r="D18" s="17">
        <v>0</v>
      </c>
      <c r="E18" s="89">
        <v>0</v>
      </c>
      <c r="F18" s="90"/>
      <c r="G18" s="3"/>
    </row>
    <row r="19" spans="1:7" ht="28.05" customHeight="1" x14ac:dyDescent="0.3">
      <c r="A19" s="1"/>
      <c r="B19" s="16" t="s">
        <v>121</v>
      </c>
      <c r="C19" s="14">
        <v>12</v>
      </c>
      <c r="D19" s="17">
        <v>0</v>
      </c>
      <c r="E19" s="89">
        <v>0</v>
      </c>
      <c r="F19" s="90"/>
      <c r="G19" s="3"/>
    </row>
    <row r="20" spans="1:7" ht="28.05" customHeight="1" x14ac:dyDescent="0.3">
      <c r="A20" s="1"/>
      <c r="B20" s="18" t="s">
        <v>122</v>
      </c>
      <c r="C20" s="14">
        <v>13</v>
      </c>
      <c r="D20" s="19">
        <f>ROUND(D15+D16+D17-D18-D19,2)</f>
        <v>0</v>
      </c>
      <c r="E20" s="91">
        <f>ROUND(E15+E16+E17-E18-E19,2)</f>
        <v>0</v>
      </c>
      <c r="F20" s="92"/>
      <c r="G20" s="3"/>
    </row>
    <row r="21" spans="1:7" ht="28.05" customHeight="1" x14ac:dyDescent="0.3">
      <c r="A21" s="1"/>
      <c r="B21" s="13" t="s">
        <v>123</v>
      </c>
      <c r="C21" s="14"/>
      <c r="D21" s="20"/>
      <c r="E21" s="93"/>
      <c r="F21" s="94"/>
      <c r="G21" s="3"/>
    </row>
    <row r="22" spans="1:7" ht="28.05" customHeight="1" x14ac:dyDescent="0.3">
      <c r="A22" s="1"/>
      <c r="B22" s="18" t="s">
        <v>124</v>
      </c>
      <c r="C22" s="14">
        <v>14</v>
      </c>
      <c r="D22" s="17">
        <v>0</v>
      </c>
      <c r="E22" s="89">
        <v>0</v>
      </c>
      <c r="F22" s="90"/>
      <c r="G22" s="3"/>
    </row>
    <row r="23" spans="1:7" ht="28.05" customHeight="1" x14ac:dyDescent="0.3">
      <c r="A23" s="1"/>
      <c r="B23" s="18" t="s">
        <v>125</v>
      </c>
      <c r="C23" s="14">
        <v>15</v>
      </c>
      <c r="D23" s="17">
        <v>0</v>
      </c>
      <c r="E23" s="89">
        <v>0</v>
      </c>
      <c r="F23" s="90"/>
      <c r="G23" s="3"/>
    </row>
    <row r="24" spans="1:7" ht="28.05" customHeight="1" x14ac:dyDescent="0.3">
      <c r="A24" s="1"/>
      <c r="B24" s="18" t="s">
        <v>126</v>
      </c>
      <c r="C24" s="14">
        <v>16</v>
      </c>
      <c r="D24" s="17">
        <v>0</v>
      </c>
      <c r="E24" s="89">
        <v>0</v>
      </c>
      <c r="F24" s="90"/>
      <c r="G24" s="3"/>
    </row>
    <row r="25" spans="1:7" ht="28.05" customHeight="1" x14ac:dyDescent="0.3">
      <c r="A25" s="1"/>
      <c r="B25" s="18" t="s">
        <v>127</v>
      </c>
      <c r="C25" s="14">
        <v>17</v>
      </c>
      <c r="D25" s="17">
        <v>0</v>
      </c>
      <c r="E25" s="89">
        <v>0</v>
      </c>
      <c r="F25" s="90"/>
      <c r="G25" s="3"/>
    </row>
    <row r="26" spans="1:7" ht="28.05" customHeight="1" x14ac:dyDescent="0.3">
      <c r="A26" s="1"/>
      <c r="B26" s="18" t="s">
        <v>128</v>
      </c>
      <c r="C26" s="14">
        <v>18</v>
      </c>
      <c r="D26" s="17">
        <v>0</v>
      </c>
      <c r="E26" s="89">
        <v>0</v>
      </c>
      <c r="F26" s="90"/>
      <c r="G26" s="3"/>
    </row>
    <row r="27" spans="1:7" ht="28.05" customHeight="1" x14ac:dyDescent="0.3">
      <c r="A27" s="1"/>
      <c r="B27" s="18" t="s">
        <v>129</v>
      </c>
      <c r="C27" s="14">
        <v>19</v>
      </c>
      <c r="D27" s="19">
        <f>ROUND(D22+D23-D24-D25-D26,2)</f>
        <v>0</v>
      </c>
      <c r="E27" s="91">
        <f>ROUND(E22+E23-E24-E25-E26,2)</f>
        <v>0</v>
      </c>
      <c r="F27" s="92"/>
      <c r="G27" s="3"/>
    </row>
    <row r="28" spans="1:7" ht="28.05" customHeight="1" x14ac:dyDescent="0.3">
      <c r="A28" s="1"/>
      <c r="B28" s="18" t="s">
        <v>130</v>
      </c>
      <c r="C28" s="14">
        <v>20</v>
      </c>
      <c r="D28" s="19">
        <f>ROUND(D13+D20+D27,2)</f>
        <v>0</v>
      </c>
      <c r="E28" s="91">
        <f>ROUND(E13+E20+E27,2)</f>
        <v>0</v>
      </c>
      <c r="F28" s="92"/>
      <c r="G28" s="3"/>
    </row>
    <row r="29" spans="1:7" ht="28.05" customHeight="1" x14ac:dyDescent="0.3">
      <c r="A29" s="1"/>
      <c r="B29" s="18" t="s">
        <v>131</v>
      </c>
      <c r="C29" s="14">
        <v>21</v>
      </c>
      <c r="D29" s="17">
        <v>0</v>
      </c>
      <c r="E29" s="89">
        <v>0</v>
      </c>
      <c r="F29" s="90"/>
      <c r="G29" s="3"/>
    </row>
    <row r="30" spans="1:7" ht="28.05" customHeight="1" x14ac:dyDescent="0.3">
      <c r="A30" s="1"/>
      <c r="B30" s="21" t="s">
        <v>132</v>
      </c>
      <c r="C30" s="22">
        <v>22</v>
      </c>
      <c r="D30" s="23">
        <f>ROUND(D28+D29,2)</f>
        <v>0</v>
      </c>
      <c r="E30" s="95">
        <f>ROUND(E28+E29,2)</f>
        <v>0</v>
      </c>
      <c r="F30" s="96"/>
      <c r="G30" s="3"/>
    </row>
  </sheetData>
  <sheetProtection password="EF5C" sheet="1" objects="1" selectLockedCells="1"/>
  <mergeCells count="29">
    <mergeCell ref="E26:F26"/>
    <mergeCell ref="E27:F27"/>
    <mergeCell ref="E28:F28"/>
    <mergeCell ref="E29:F29"/>
    <mergeCell ref="E30:F30"/>
    <mergeCell ref="E20:F20"/>
    <mergeCell ref="E21:F21"/>
    <mergeCell ref="E22:F22"/>
    <mergeCell ref="E23:F23"/>
    <mergeCell ref="E24:F24"/>
    <mergeCell ref="E25:F25"/>
    <mergeCell ref="E14:F14"/>
    <mergeCell ref="E15:F15"/>
    <mergeCell ref="E16:F16"/>
    <mergeCell ref="E17:F17"/>
    <mergeCell ref="E18:F18"/>
    <mergeCell ref="E19:F19"/>
    <mergeCell ref="E8:F8"/>
    <mergeCell ref="E9:F9"/>
    <mergeCell ref="E10:F10"/>
    <mergeCell ref="E11:F11"/>
    <mergeCell ref="E12:F12"/>
    <mergeCell ref="E13:F13"/>
    <mergeCell ref="B1:F1"/>
    <mergeCell ref="B3:C3"/>
    <mergeCell ref="B4:C4"/>
    <mergeCell ref="E5:F5"/>
    <mergeCell ref="E6:F6"/>
    <mergeCell ref="E7:F7"/>
  </mergeCells>
  <phoneticPr fontId="22" type="noConversion"/>
  <dataValidations count="3">
    <dataValidation type="decimal" allowBlank="1" showInputMessage="1" showErrorMessage="1" sqref="D13:F13 D20:F20 D30:F30 D27:F28" xr:uid="{C96432EF-000D-4426-AB98-5E19E5DE254C}">
      <formula1>-9999999999999</formula1>
      <formula2>9999999999999</formula2>
    </dataValidation>
    <dataValidation type="decimal" allowBlank="1" showInputMessage="1" showErrorMessage="1" errorTitle="无效的数据输入" error="只能输入数字！" sqref="D14:F14 D21:F21" xr:uid="{8A3EF752-BB86-4413-B1EB-4EBF1CBD87A6}">
      <formula1>-9999999999999</formula1>
      <formula2>9999999999999</formula2>
    </dataValidation>
    <dataValidation type="decimal" showInputMessage="1" showErrorMessage="1" error="不能为空，默认赋值0.00" sqref="D29:F29 D22:F26 D15:F19 D7:F12" xr:uid="{3097F8B9-C1E1-4633-A040-E14134B4D983}">
      <formula1>-9999999999999</formula1>
      <formula2>9999999999999</formula2>
    </dataValidation>
  </dataValidations>
  <pageMargins left="0.9" right="0.9" top="0.98" bottom="0.98" header="0.51" footer="0.51"/>
  <pageSetup paperSize="9" orientation="portrait" errors="blank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利润表_月季报</vt:lpstr>
      <vt:lpstr>现金流量表_月季报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yingcheng du</cp:lastModifiedBy>
  <cp:revision>1</cp:revision>
  <dcterms:created xsi:type="dcterms:W3CDTF">2014-12-17T08:29:59Z</dcterms:created>
  <dcterms:modified xsi:type="dcterms:W3CDTF">2026-08-26T08:38:51Z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67A23373CF654D988D1B7C9EE373BCCE</vt:lpwstr>
  </property>
</Properties>
</file>